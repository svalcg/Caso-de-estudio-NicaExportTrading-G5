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https://d.docs.live.net/201c5470fb36dbb1/Documentos/"/>
    </mc:Choice>
  </mc:AlternateContent>
  <xr:revisionPtr revIDLastSave="0" documentId="8_{2659373F-9D23-493F-A7BE-41BFF0622150}" xr6:coauthVersionLast="47" xr6:coauthVersionMax="47" xr10:uidLastSave="{00000000-0000-0000-0000-000000000000}"/>
  <bookViews>
    <workbookView xWindow="-108" yWindow="-108" windowWidth="23256" windowHeight="12456" activeTab="4" xr2:uid="{7B738EEA-C5D1-4763-99B0-CB41F4188051}"/>
  </bookViews>
  <sheets>
    <sheet name="Integrantes" sheetId="7" r:id="rId1"/>
    <sheet name="1. Operaciones" sheetId="2" r:id="rId2"/>
    <sheet name="2. Productos" sheetId="3" r:id="rId3"/>
    <sheet name="3. Mercados" sheetId="4" r:id="rId4"/>
    <sheet name="Preguntas" sheetId="5" r:id="rId5"/>
    <sheet name=" Gráficos y  Tablas dinámicas  " sheetId="6" r:id="rId6"/>
  </sheets>
  <calcPr calcId="181029"/>
  <pivotCaches>
    <pivotCache cacheId="0" r:id="rId7"/>
  </pivotCaches>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R5" i="2" l="1"/>
  <c r="M5" i="2"/>
  <c r="L5" i="2"/>
  <c r="L24" i="2"/>
  <c r="K5" i="2"/>
  <c r="O5" i="2" s="1"/>
  <c r="K72" i="2"/>
  <c r="O72" i="2" s="1"/>
  <c r="R103" i="2"/>
  <c r="R100" i="2"/>
  <c r="R94" i="2"/>
  <c r="R88" i="2"/>
  <c r="R84" i="2"/>
  <c r="R80" i="2"/>
  <c r="R76" i="2"/>
  <c r="R72" i="2"/>
  <c r="R68" i="2"/>
  <c r="R64" i="2"/>
  <c r="R60" i="2"/>
  <c r="R56" i="2"/>
  <c r="R52" i="2"/>
  <c r="R48" i="2"/>
  <c r="R44" i="2"/>
  <c r="R40" i="2"/>
  <c r="R36" i="2"/>
  <c r="R32" i="2"/>
  <c r="R28" i="2"/>
  <c r="R24" i="2"/>
  <c r="R18" i="2"/>
  <c r="R15" i="2"/>
  <c r="R10" i="2"/>
  <c r="P18" i="2"/>
  <c r="O24" i="2"/>
  <c r="O25" i="2"/>
  <c r="O26" i="2"/>
  <c r="O27" i="2"/>
  <c r="O36" i="2"/>
  <c r="O37" i="2"/>
  <c r="O38" i="2"/>
  <c r="O73" i="2"/>
  <c r="O74" i="2"/>
  <c r="O96" i="2"/>
  <c r="O97" i="2"/>
  <c r="O98" i="2"/>
  <c r="O99" i="2"/>
  <c r="P5" i="2"/>
  <c r="P15" i="2"/>
  <c r="P4" i="2"/>
  <c r="P6" i="2"/>
  <c r="P7" i="2"/>
  <c r="P8" i="2"/>
  <c r="P9" i="2"/>
  <c r="P10" i="2"/>
  <c r="P11" i="2"/>
  <c r="P12" i="2"/>
  <c r="P13" i="2"/>
  <c r="P14" i="2"/>
  <c r="P16" i="2"/>
  <c r="P17" i="2"/>
  <c r="P19" i="2"/>
  <c r="P20" i="2"/>
  <c r="P21" i="2"/>
  <c r="P22" i="2"/>
  <c r="P23" i="2"/>
  <c r="P24" i="2"/>
  <c r="P25" i="2"/>
  <c r="P26" i="2"/>
  <c r="P27" i="2"/>
  <c r="P28" i="2"/>
  <c r="P29" i="2"/>
  <c r="P30" i="2"/>
  <c r="P31" i="2"/>
  <c r="P32" i="2"/>
  <c r="P33" i="2"/>
  <c r="P34" i="2"/>
  <c r="P35" i="2"/>
  <c r="P36" i="2"/>
  <c r="P37" i="2"/>
  <c r="P38" i="2"/>
  <c r="P39" i="2"/>
  <c r="P40" i="2"/>
  <c r="P41" i="2"/>
  <c r="P42" i="2"/>
  <c r="P43" i="2"/>
  <c r="P44" i="2"/>
  <c r="P45" i="2"/>
  <c r="P46" i="2"/>
  <c r="P47" i="2"/>
  <c r="P48" i="2"/>
  <c r="P49" i="2"/>
  <c r="P50" i="2"/>
  <c r="P51" i="2"/>
  <c r="P52" i="2"/>
  <c r="P53" i="2"/>
  <c r="P54" i="2"/>
  <c r="P55" i="2"/>
  <c r="P56" i="2"/>
  <c r="P57" i="2"/>
  <c r="P58" i="2"/>
  <c r="P59" i="2"/>
  <c r="P60" i="2"/>
  <c r="P61" i="2"/>
  <c r="P62" i="2"/>
  <c r="P63" i="2"/>
  <c r="P64" i="2"/>
  <c r="P65" i="2"/>
  <c r="P66" i="2"/>
  <c r="P67" i="2"/>
  <c r="P68" i="2"/>
  <c r="P69" i="2"/>
  <c r="P70" i="2"/>
  <c r="P71" i="2"/>
  <c r="P72" i="2"/>
  <c r="P73" i="2"/>
  <c r="P74" i="2"/>
  <c r="P75" i="2"/>
  <c r="P76" i="2"/>
  <c r="P77" i="2"/>
  <c r="P78" i="2"/>
  <c r="P79" i="2"/>
  <c r="P80" i="2"/>
  <c r="P81" i="2"/>
  <c r="P82" i="2"/>
  <c r="P83" i="2"/>
  <c r="P84" i="2"/>
  <c r="P85" i="2"/>
  <c r="P86" i="2"/>
  <c r="P87" i="2"/>
  <c r="P88" i="2"/>
  <c r="P89" i="2"/>
  <c r="P90" i="2"/>
  <c r="P91" i="2"/>
  <c r="P92" i="2"/>
  <c r="P93" i="2"/>
  <c r="P94" i="2"/>
  <c r="P95" i="2"/>
  <c r="P96" i="2"/>
  <c r="P97" i="2"/>
  <c r="P98" i="2"/>
  <c r="P99" i="2"/>
  <c r="P100" i="2"/>
  <c r="P101" i="2"/>
  <c r="P102" i="2"/>
  <c r="P103" i="2"/>
  <c r="L4" i="2"/>
  <c r="L6" i="2"/>
  <c r="L7" i="2"/>
  <c r="L8" i="2"/>
  <c r="L9" i="2"/>
  <c r="L10" i="2"/>
  <c r="L11" i="2"/>
  <c r="L12" i="2"/>
  <c r="L13" i="2"/>
  <c r="L14" i="2"/>
  <c r="L15" i="2"/>
  <c r="L16" i="2"/>
  <c r="L17" i="2"/>
  <c r="L18" i="2"/>
  <c r="L19" i="2"/>
  <c r="L20" i="2"/>
  <c r="L21" i="2"/>
  <c r="L22" i="2"/>
  <c r="L23"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K4" i="2"/>
  <c r="O4" i="2" s="1"/>
  <c r="K6" i="2"/>
  <c r="O6" i="2" s="1"/>
  <c r="K7" i="2"/>
  <c r="O7" i="2" s="1"/>
  <c r="K8" i="2"/>
  <c r="O8" i="2" s="1"/>
  <c r="K9" i="2"/>
  <c r="O9" i="2" s="1"/>
  <c r="K10" i="2"/>
  <c r="O10" i="2" s="1"/>
  <c r="K11" i="2"/>
  <c r="O11" i="2" s="1"/>
  <c r="K12" i="2"/>
  <c r="O12" i="2" s="1"/>
  <c r="K13" i="2"/>
  <c r="O13" i="2" s="1"/>
  <c r="K14" i="2"/>
  <c r="O14" i="2" s="1"/>
  <c r="K15" i="2"/>
  <c r="O15" i="2" s="1"/>
  <c r="K16" i="2"/>
  <c r="O16" i="2" s="1"/>
  <c r="K17" i="2"/>
  <c r="O17" i="2" s="1"/>
  <c r="K18" i="2"/>
  <c r="O18" i="2" s="1"/>
  <c r="K19" i="2"/>
  <c r="O19" i="2" s="1"/>
  <c r="K20" i="2"/>
  <c r="O20" i="2" s="1"/>
  <c r="K21" i="2"/>
  <c r="O21" i="2" s="1"/>
  <c r="K22" i="2"/>
  <c r="O22" i="2" s="1"/>
  <c r="K23" i="2"/>
  <c r="O23" i="2" s="1"/>
  <c r="K24" i="2"/>
  <c r="K25" i="2"/>
  <c r="K26" i="2"/>
  <c r="K27" i="2"/>
  <c r="K28" i="2"/>
  <c r="O28" i="2" s="1"/>
  <c r="K29" i="2"/>
  <c r="O29" i="2" s="1"/>
  <c r="K30" i="2"/>
  <c r="O30" i="2" s="1"/>
  <c r="K31" i="2"/>
  <c r="O31" i="2" s="1"/>
  <c r="K32" i="2"/>
  <c r="O32" i="2" s="1"/>
  <c r="K33" i="2"/>
  <c r="O33" i="2" s="1"/>
  <c r="K34" i="2"/>
  <c r="O34" i="2" s="1"/>
  <c r="K35" i="2"/>
  <c r="O35" i="2" s="1"/>
  <c r="K36" i="2"/>
  <c r="K37" i="2"/>
  <c r="K38" i="2"/>
  <c r="K39" i="2"/>
  <c r="O39" i="2" s="1"/>
  <c r="K40" i="2"/>
  <c r="O40" i="2" s="1"/>
  <c r="K41" i="2"/>
  <c r="O41" i="2" s="1"/>
  <c r="K42" i="2"/>
  <c r="O42" i="2" s="1"/>
  <c r="K43" i="2"/>
  <c r="O43" i="2" s="1"/>
  <c r="K44" i="2"/>
  <c r="O44" i="2" s="1"/>
  <c r="K45" i="2"/>
  <c r="O45" i="2" s="1"/>
  <c r="K46" i="2"/>
  <c r="O46" i="2" s="1"/>
  <c r="K47" i="2"/>
  <c r="O47" i="2" s="1"/>
  <c r="K48" i="2"/>
  <c r="O48" i="2" s="1"/>
  <c r="K49" i="2"/>
  <c r="O49" i="2" s="1"/>
  <c r="K50" i="2"/>
  <c r="O50" i="2" s="1"/>
  <c r="K51" i="2"/>
  <c r="O51" i="2" s="1"/>
  <c r="K52" i="2"/>
  <c r="O52" i="2" s="1"/>
  <c r="K53" i="2"/>
  <c r="O53" i="2" s="1"/>
  <c r="K54" i="2"/>
  <c r="O54" i="2" s="1"/>
  <c r="K55" i="2"/>
  <c r="O55" i="2" s="1"/>
  <c r="K56" i="2"/>
  <c r="O56" i="2" s="1"/>
  <c r="K57" i="2"/>
  <c r="O57" i="2" s="1"/>
  <c r="K58" i="2"/>
  <c r="O58" i="2" s="1"/>
  <c r="K59" i="2"/>
  <c r="O59" i="2" s="1"/>
  <c r="K60" i="2"/>
  <c r="O60" i="2" s="1"/>
  <c r="K61" i="2"/>
  <c r="O61" i="2" s="1"/>
  <c r="K62" i="2"/>
  <c r="O62" i="2" s="1"/>
  <c r="K63" i="2"/>
  <c r="O63" i="2" s="1"/>
  <c r="K64" i="2"/>
  <c r="O64" i="2" s="1"/>
  <c r="K65" i="2"/>
  <c r="O65" i="2" s="1"/>
  <c r="K66" i="2"/>
  <c r="O66" i="2" s="1"/>
  <c r="K67" i="2"/>
  <c r="O67" i="2" s="1"/>
  <c r="K68" i="2"/>
  <c r="O68" i="2" s="1"/>
  <c r="K69" i="2"/>
  <c r="O69" i="2" s="1"/>
  <c r="K70" i="2"/>
  <c r="O70" i="2" s="1"/>
  <c r="K71" i="2"/>
  <c r="O71" i="2" s="1"/>
  <c r="K73" i="2"/>
  <c r="K74" i="2"/>
  <c r="K75" i="2"/>
  <c r="O75" i="2" s="1"/>
  <c r="K76" i="2"/>
  <c r="O76" i="2" s="1"/>
  <c r="K77" i="2"/>
  <c r="O77" i="2" s="1"/>
  <c r="K78" i="2"/>
  <c r="O78" i="2" s="1"/>
  <c r="K79" i="2"/>
  <c r="O79" i="2" s="1"/>
  <c r="K80" i="2"/>
  <c r="O80" i="2" s="1"/>
  <c r="K81" i="2"/>
  <c r="O81" i="2" s="1"/>
  <c r="K82" i="2"/>
  <c r="O82" i="2" s="1"/>
  <c r="K83" i="2"/>
  <c r="O83" i="2" s="1"/>
  <c r="K84" i="2"/>
  <c r="O84" i="2" s="1"/>
  <c r="K85" i="2"/>
  <c r="O85" i="2" s="1"/>
  <c r="K86" i="2"/>
  <c r="O86" i="2" s="1"/>
  <c r="K87" i="2"/>
  <c r="O87" i="2" s="1"/>
  <c r="K88" i="2"/>
  <c r="O88" i="2" s="1"/>
  <c r="K89" i="2"/>
  <c r="O89" i="2" s="1"/>
  <c r="K90" i="2"/>
  <c r="O90" i="2" s="1"/>
  <c r="K91" i="2"/>
  <c r="O91" i="2" s="1"/>
  <c r="K92" i="2"/>
  <c r="O92" i="2" s="1"/>
  <c r="K93" i="2"/>
  <c r="O93" i="2" s="1"/>
  <c r="K94" i="2"/>
  <c r="O94" i="2" s="1"/>
  <c r="K95" i="2"/>
  <c r="O95" i="2" s="1"/>
  <c r="K96" i="2"/>
  <c r="K97" i="2"/>
  <c r="K98" i="2"/>
  <c r="K99" i="2"/>
  <c r="K100" i="2"/>
  <c r="O100" i="2" s="1"/>
  <c r="K101" i="2"/>
  <c r="O101" i="2" s="1"/>
  <c r="K102" i="2"/>
  <c r="O102" i="2" s="1"/>
  <c r="K103" i="2"/>
  <c r="O103" i="2" s="1"/>
  <c r="Q17" i="2" l="1"/>
  <c r="Q100" i="2"/>
  <c r="Q87" i="2"/>
  <c r="Q51" i="2"/>
  <c r="M102" i="2"/>
  <c r="N102" i="2" s="1"/>
  <c r="Q102" i="2" s="1"/>
  <c r="M90" i="2"/>
  <c r="N90" i="2" s="1"/>
  <c r="Q90" i="2" s="1"/>
  <c r="M78" i="2"/>
  <c r="N78" i="2" s="1"/>
  <c r="Q78" i="2" s="1"/>
  <c r="M66" i="2"/>
  <c r="N66" i="2" s="1"/>
  <c r="Q66" i="2" s="1"/>
  <c r="M54" i="2"/>
  <c r="N54" i="2" s="1"/>
  <c r="Q54" i="2" s="1"/>
  <c r="M42" i="2"/>
  <c r="N42" i="2" s="1"/>
  <c r="Q42" i="2" s="1"/>
  <c r="M30" i="2"/>
  <c r="N30" i="2" s="1"/>
  <c r="Q30" i="2" s="1"/>
  <c r="M18" i="2"/>
  <c r="N18" i="2" s="1"/>
  <c r="Q18" i="2" s="1"/>
  <c r="M101" i="2"/>
  <c r="N101" i="2" s="1"/>
  <c r="Q101" i="2" s="1"/>
  <c r="M89" i="2"/>
  <c r="N89" i="2" s="1"/>
  <c r="Q89" i="2" s="1"/>
  <c r="M77" i="2"/>
  <c r="N77" i="2" s="1"/>
  <c r="Q77" i="2" s="1"/>
  <c r="M65" i="2"/>
  <c r="N65" i="2" s="1"/>
  <c r="Q65" i="2" s="1"/>
  <c r="M53" i="2"/>
  <c r="N53" i="2" s="1"/>
  <c r="Q53" i="2" s="1"/>
  <c r="M41" i="2"/>
  <c r="N41" i="2" s="1"/>
  <c r="Q41" i="2" s="1"/>
  <c r="M29" i="2"/>
  <c r="N29" i="2" s="1"/>
  <c r="Q29" i="2" s="1"/>
  <c r="M17" i="2"/>
  <c r="N17" i="2" s="1"/>
  <c r="M100" i="2"/>
  <c r="N100" i="2" s="1"/>
  <c r="M88" i="2"/>
  <c r="N88" i="2" s="1"/>
  <c r="Q88" i="2" s="1"/>
  <c r="M76" i="2"/>
  <c r="N76" i="2" s="1"/>
  <c r="Q76" i="2" s="1"/>
  <c r="M64" i="2"/>
  <c r="N64" i="2" s="1"/>
  <c r="Q64" i="2" s="1"/>
  <c r="M52" i="2"/>
  <c r="N52" i="2" s="1"/>
  <c r="Q52" i="2" s="1"/>
  <c r="M40" i="2"/>
  <c r="N40" i="2" s="1"/>
  <c r="Q40" i="2" s="1"/>
  <c r="M28" i="2"/>
  <c r="N28" i="2" s="1"/>
  <c r="Q28" i="2" s="1"/>
  <c r="M16" i="2"/>
  <c r="N16" i="2" s="1"/>
  <c r="Q16" i="2" s="1"/>
  <c r="N5" i="2"/>
  <c r="Q5" i="2" s="1"/>
  <c r="M93" i="2"/>
  <c r="N93" i="2" s="1"/>
  <c r="Q93" i="2" s="1"/>
  <c r="M57" i="2"/>
  <c r="N57" i="2" s="1"/>
  <c r="Q57" i="2" s="1"/>
  <c r="M21" i="2"/>
  <c r="N21" i="2" s="1"/>
  <c r="Q21" i="2" s="1"/>
  <c r="M9" i="2"/>
  <c r="N9" i="2" s="1"/>
  <c r="Q9" i="2" s="1"/>
  <c r="M94" i="2"/>
  <c r="N94" i="2" s="1"/>
  <c r="Q94" i="2" s="1"/>
  <c r="M69" i="2"/>
  <c r="N69" i="2" s="1"/>
  <c r="Q69" i="2" s="1"/>
  <c r="M33" i="2"/>
  <c r="N33" i="2" s="1"/>
  <c r="Q33" i="2" s="1"/>
  <c r="M75" i="2"/>
  <c r="N75" i="2" s="1"/>
  <c r="Q75" i="2" s="1"/>
  <c r="M74" i="2"/>
  <c r="N74" i="2" s="1"/>
  <c r="Q74" i="2" s="1"/>
  <c r="M38" i="2"/>
  <c r="N38" i="2" s="1"/>
  <c r="Q38" i="2" s="1"/>
  <c r="M14" i="2"/>
  <c r="N14" i="2" s="1"/>
  <c r="Q14" i="2" s="1"/>
  <c r="M85" i="2"/>
  <c r="N85" i="2" s="1"/>
  <c r="Q85" i="2" s="1"/>
  <c r="M73" i="2"/>
  <c r="N73" i="2" s="1"/>
  <c r="Q73" i="2" s="1"/>
  <c r="M49" i="2"/>
  <c r="N49" i="2" s="1"/>
  <c r="Q49" i="2" s="1"/>
  <c r="M37" i="2"/>
  <c r="N37" i="2" s="1"/>
  <c r="Q37" i="2" s="1"/>
  <c r="M13" i="2"/>
  <c r="N13" i="2" s="1"/>
  <c r="Q13" i="2" s="1"/>
  <c r="M81" i="2"/>
  <c r="N81" i="2" s="1"/>
  <c r="Q81" i="2" s="1"/>
  <c r="M45" i="2"/>
  <c r="N45" i="2" s="1"/>
  <c r="Q45" i="2" s="1"/>
  <c r="M39" i="2"/>
  <c r="N39" i="2" s="1"/>
  <c r="Q39" i="2" s="1"/>
  <c r="M84" i="2"/>
  <c r="N84" i="2" s="1"/>
  <c r="Q84" i="2" s="1"/>
  <c r="M72" i="2"/>
  <c r="N72" i="2" s="1"/>
  <c r="Q72" i="2" s="1"/>
  <c r="M12" i="2"/>
  <c r="N12" i="2" s="1"/>
  <c r="Q12" i="2" s="1"/>
  <c r="M6" i="2"/>
  <c r="N6" i="2" s="1"/>
  <c r="Q6" i="2" s="1"/>
  <c r="M4" i="2"/>
  <c r="N4" i="2" s="1"/>
  <c r="Q4" i="2" s="1"/>
  <c r="M48" i="2"/>
  <c r="N48" i="2" s="1"/>
  <c r="Q48" i="2" s="1"/>
  <c r="M36" i="2"/>
  <c r="N36" i="2" s="1"/>
  <c r="Q36" i="2" s="1"/>
  <c r="M99" i="2"/>
  <c r="N99" i="2" s="1"/>
  <c r="Q99" i="2" s="1"/>
  <c r="M87" i="2"/>
  <c r="N87" i="2" s="1"/>
  <c r="M63" i="2"/>
  <c r="N63" i="2" s="1"/>
  <c r="Q63" i="2" s="1"/>
  <c r="M51" i="2"/>
  <c r="N51" i="2" s="1"/>
  <c r="M27" i="2"/>
  <c r="N27" i="2" s="1"/>
  <c r="Q27" i="2" s="1"/>
  <c r="M15" i="2"/>
  <c r="N15" i="2" s="1"/>
  <c r="Q15" i="2" s="1"/>
  <c r="M98" i="2"/>
  <c r="N98" i="2" s="1"/>
  <c r="Q98" i="2" s="1"/>
  <c r="M86" i="2"/>
  <c r="N86" i="2" s="1"/>
  <c r="Q86" i="2" s="1"/>
  <c r="M62" i="2"/>
  <c r="N62" i="2" s="1"/>
  <c r="Q62" i="2" s="1"/>
  <c r="M50" i="2"/>
  <c r="N50" i="2" s="1"/>
  <c r="Q50" i="2" s="1"/>
  <c r="M26" i="2"/>
  <c r="N26" i="2" s="1"/>
  <c r="Q26" i="2" s="1"/>
  <c r="M97" i="2"/>
  <c r="N97" i="2" s="1"/>
  <c r="Q97" i="2" s="1"/>
  <c r="M61" i="2"/>
  <c r="N61" i="2" s="1"/>
  <c r="Q61" i="2" s="1"/>
  <c r="M25" i="2"/>
  <c r="N25" i="2" s="1"/>
  <c r="Q25" i="2" s="1"/>
  <c r="M96" i="2"/>
  <c r="N96" i="2" s="1"/>
  <c r="Q96" i="2" s="1"/>
  <c r="M60" i="2"/>
  <c r="N60" i="2" s="1"/>
  <c r="Q60" i="2" s="1"/>
  <c r="M24" i="2"/>
  <c r="N24" i="2" s="1"/>
  <c r="Q24" i="2" s="1"/>
  <c r="M103" i="2"/>
  <c r="N103" i="2" s="1"/>
  <c r="Q103" i="2" s="1"/>
  <c r="M91" i="2"/>
  <c r="N91" i="2" s="1"/>
  <c r="Q91" i="2" s="1"/>
  <c r="M79" i="2"/>
  <c r="N79" i="2" s="1"/>
  <c r="Q79" i="2" s="1"/>
  <c r="M67" i="2"/>
  <c r="N67" i="2" s="1"/>
  <c r="Q67" i="2" s="1"/>
  <c r="M55" i="2"/>
  <c r="N55" i="2" s="1"/>
  <c r="Q55" i="2" s="1"/>
  <c r="M43" i="2"/>
  <c r="N43" i="2" s="1"/>
  <c r="Q43" i="2" s="1"/>
  <c r="M31" i="2"/>
  <c r="N31" i="2" s="1"/>
  <c r="Q31" i="2" s="1"/>
  <c r="M19" i="2"/>
  <c r="N19" i="2" s="1"/>
  <c r="Q19" i="2" s="1"/>
  <c r="M7" i="2"/>
  <c r="N7" i="2" s="1"/>
  <c r="Q7" i="2" s="1"/>
  <c r="M71" i="2"/>
  <c r="N71" i="2" s="1"/>
  <c r="Q71" i="2" s="1"/>
  <c r="M23" i="2"/>
  <c r="N23" i="2" s="1"/>
  <c r="Q23" i="2" s="1"/>
  <c r="M22" i="2"/>
  <c r="N22" i="2" s="1"/>
  <c r="Q22" i="2" s="1"/>
  <c r="M83" i="2"/>
  <c r="N83" i="2" s="1"/>
  <c r="Q83" i="2" s="1"/>
  <c r="M35" i="2"/>
  <c r="N35" i="2" s="1"/>
  <c r="Q35" i="2" s="1"/>
  <c r="M34" i="2"/>
  <c r="N34" i="2" s="1"/>
  <c r="Q34" i="2" s="1"/>
  <c r="M92" i="2"/>
  <c r="N92" i="2" s="1"/>
  <c r="Q92" i="2" s="1"/>
  <c r="M80" i="2"/>
  <c r="N80" i="2" s="1"/>
  <c r="Q80" i="2" s="1"/>
  <c r="M68" i="2"/>
  <c r="N68" i="2" s="1"/>
  <c r="Q68" i="2" s="1"/>
  <c r="M56" i="2"/>
  <c r="N56" i="2" s="1"/>
  <c r="Q56" i="2" s="1"/>
  <c r="M44" i="2"/>
  <c r="N44" i="2" s="1"/>
  <c r="Q44" i="2" s="1"/>
  <c r="M32" i="2"/>
  <c r="N32" i="2" s="1"/>
  <c r="Q32" i="2" s="1"/>
  <c r="M20" i="2"/>
  <c r="N20" i="2" s="1"/>
  <c r="Q20" i="2" s="1"/>
  <c r="M8" i="2"/>
  <c r="N8" i="2" s="1"/>
  <c r="Q8" i="2" s="1"/>
  <c r="M59" i="2"/>
  <c r="N59" i="2" s="1"/>
  <c r="Q59" i="2" s="1"/>
  <c r="M82" i="2"/>
  <c r="N82" i="2" s="1"/>
  <c r="Q82" i="2" s="1"/>
  <c r="M10" i="2"/>
  <c r="N10" i="2" s="1"/>
  <c r="Q10" i="2" s="1"/>
  <c r="M46" i="2"/>
  <c r="N46" i="2" s="1"/>
  <c r="Q46" i="2" s="1"/>
  <c r="M47" i="2"/>
  <c r="N47" i="2" s="1"/>
  <c r="Q47" i="2" s="1"/>
  <c r="M58" i="2"/>
  <c r="N58" i="2" s="1"/>
  <c r="Q58" i="2" s="1"/>
  <c r="M95" i="2"/>
  <c r="N95" i="2" s="1"/>
  <c r="Q95" i="2" s="1"/>
  <c r="M11" i="2"/>
  <c r="N11" i="2" s="1"/>
  <c r="Q11" i="2" s="1"/>
  <c r="M70" i="2"/>
  <c r="N70" i="2" s="1"/>
  <c r="Q70" i="2" s="1"/>
</calcChain>
</file>

<file path=xl/sharedStrings.xml><?xml version="1.0" encoding="utf-8"?>
<sst xmlns="http://schemas.openxmlformats.org/spreadsheetml/2006/main" count="683" uniqueCount="233">
  <si>
    <t>ID_Operación</t>
  </si>
  <si>
    <t>Fecha</t>
  </si>
  <si>
    <t>Cliente</t>
  </si>
  <si>
    <t>Código Producto</t>
  </si>
  <si>
    <t>País Destino</t>
  </si>
  <si>
    <t>Unidades</t>
  </si>
  <si>
    <t>Precio FOB</t>
  </si>
  <si>
    <t>Costo Unitario</t>
  </si>
  <si>
    <t>Estado</t>
  </si>
  <si>
    <t>Valor FOB (Free On Board</t>
  </si>
  <si>
    <t>Costo total</t>
  </si>
  <si>
    <t>Utilidad:</t>
  </si>
  <si>
    <t>Margen</t>
  </si>
  <si>
    <t>Clasificación</t>
  </si>
  <si>
    <t>Tipo de Mercado</t>
  </si>
  <si>
    <t xml:space="preserve"> Prioridad comercial</t>
  </si>
  <si>
    <t>Región</t>
  </si>
  <si>
    <t>EX001</t>
  </si>
  <si>
    <t>Comercial Maya</t>
  </si>
  <si>
    <t>P003</t>
  </si>
  <si>
    <t>Guatemala</t>
  </si>
  <si>
    <t>Embarcado</t>
  </si>
  <si>
    <t>EX002</t>
  </si>
  <si>
    <t>Global Foods</t>
  </si>
  <si>
    <t>P001</t>
  </si>
  <si>
    <t>EE.UU.</t>
  </si>
  <si>
    <t>Entregado</t>
  </si>
  <si>
    <t>EX003</t>
  </si>
  <si>
    <t>Distribuidora Tica</t>
  </si>
  <si>
    <t>P004</t>
  </si>
  <si>
    <t>Costa Rica</t>
  </si>
  <si>
    <t>EX004</t>
  </si>
  <si>
    <t>Iberia Foods</t>
  </si>
  <si>
    <t>P002</t>
  </si>
  <si>
    <t>España</t>
  </si>
  <si>
    <t>Pendiente</t>
  </si>
  <si>
    <t>EX005</t>
  </si>
  <si>
    <t>Comercial Azteca</t>
  </si>
  <si>
    <t>P005</t>
  </si>
  <si>
    <t>México</t>
  </si>
  <si>
    <t>EX006</t>
  </si>
  <si>
    <t>EX007</t>
  </si>
  <si>
    <t>EX008</t>
  </si>
  <si>
    <t>EX009</t>
  </si>
  <si>
    <t>EX010</t>
  </si>
  <si>
    <t>EX011</t>
  </si>
  <si>
    <t>EX012</t>
  </si>
  <si>
    <t>EX013</t>
  </si>
  <si>
    <t>EX014</t>
  </si>
  <si>
    <t>EX015</t>
  </si>
  <si>
    <t>EX016</t>
  </si>
  <si>
    <t>EX017</t>
  </si>
  <si>
    <t>EX018</t>
  </si>
  <si>
    <t>EX019</t>
  </si>
  <si>
    <t>EX020</t>
  </si>
  <si>
    <t>EX021</t>
  </si>
  <si>
    <t>EX022</t>
  </si>
  <si>
    <t>EX023</t>
  </si>
  <si>
    <t>EX024</t>
  </si>
  <si>
    <t>EX025</t>
  </si>
  <si>
    <t>EX026</t>
  </si>
  <si>
    <t>EX027</t>
  </si>
  <si>
    <t>EX028</t>
  </si>
  <si>
    <t>EX029</t>
  </si>
  <si>
    <t>EX030</t>
  </si>
  <si>
    <t>EX031</t>
  </si>
  <si>
    <t>EX032</t>
  </si>
  <si>
    <t>EX033</t>
  </si>
  <si>
    <t>EX034</t>
  </si>
  <si>
    <t>EX035</t>
  </si>
  <si>
    <t>EX036</t>
  </si>
  <si>
    <t>EX037</t>
  </si>
  <si>
    <t>EX038</t>
  </si>
  <si>
    <t>EX039</t>
  </si>
  <si>
    <t>EX040</t>
  </si>
  <si>
    <t>EX041</t>
  </si>
  <si>
    <t>EX042</t>
  </si>
  <si>
    <t>EX043</t>
  </si>
  <si>
    <t>EX044</t>
  </si>
  <si>
    <t>EX045</t>
  </si>
  <si>
    <t>EX046</t>
  </si>
  <si>
    <t>EX047</t>
  </si>
  <si>
    <t>EX048</t>
  </si>
  <si>
    <t>EX049</t>
  </si>
  <si>
    <t>EX050</t>
  </si>
  <si>
    <t>EX051</t>
  </si>
  <si>
    <t>EX052</t>
  </si>
  <si>
    <t>EX053</t>
  </si>
  <si>
    <t>EX054</t>
  </si>
  <si>
    <t>EX055</t>
  </si>
  <si>
    <t>EX056</t>
  </si>
  <si>
    <t>EX057</t>
  </si>
  <si>
    <t>EX058</t>
  </si>
  <si>
    <t>EX059</t>
  </si>
  <si>
    <t>EX060</t>
  </si>
  <si>
    <t>EX061</t>
  </si>
  <si>
    <t>EX062</t>
  </si>
  <si>
    <t>EX063</t>
  </si>
  <si>
    <t>EX064</t>
  </si>
  <si>
    <t>EX065</t>
  </si>
  <si>
    <t>EX066</t>
  </si>
  <si>
    <t>EX067</t>
  </si>
  <si>
    <t>EX068</t>
  </si>
  <si>
    <t>EX069</t>
  </si>
  <si>
    <t>EX070</t>
  </si>
  <si>
    <t>EX071</t>
  </si>
  <si>
    <t>EX072</t>
  </si>
  <si>
    <t>EX073</t>
  </si>
  <si>
    <t>EX074</t>
  </si>
  <si>
    <t>EX075</t>
  </si>
  <si>
    <t>EX076</t>
  </si>
  <si>
    <t>EX077</t>
  </si>
  <si>
    <t>EX078</t>
  </si>
  <si>
    <t>EX079</t>
  </si>
  <si>
    <t>EX080</t>
  </si>
  <si>
    <t>EX081</t>
  </si>
  <si>
    <t>EX082</t>
  </si>
  <si>
    <t>EX083</t>
  </si>
  <si>
    <t>EX084</t>
  </si>
  <si>
    <t>EX085</t>
  </si>
  <si>
    <t>EX086</t>
  </si>
  <si>
    <t>EX087</t>
  </si>
  <si>
    <t>EX088</t>
  </si>
  <si>
    <t>EX089</t>
  </si>
  <si>
    <t>EX090</t>
  </si>
  <si>
    <t>EX091</t>
  </si>
  <si>
    <t>EX092</t>
  </si>
  <si>
    <t>EX093</t>
  </si>
  <si>
    <t>EX094</t>
  </si>
  <si>
    <t>EX095</t>
  </si>
  <si>
    <t>EX096</t>
  </si>
  <si>
    <t>EX097</t>
  </si>
  <si>
    <t>EX098</t>
  </si>
  <si>
    <t>EX099</t>
  </si>
  <si>
    <t>EX100</t>
  </si>
  <si>
    <t>Catálogo de Productos</t>
  </si>
  <si>
    <t>Código</t>
  </si>
  <si>
    <t>Producto</t>
  </si>
  <si>
    <t>Categoría</t>
  </si>
  <si>
    <t>Unidad de Medida</t>
  </si>
  <si>
    <t>Café especial</t>
  </si>
  <si>
    <t>Café</t>
  </si>
  <si>
    <t>Kg</t>
  </si>
  <si>
    <t>Cacao en grano</t>
  </si>
  <si>
    <t>Cacao</t>
  </si>
  <si>
    <t>Miel natural</t>
  </si>
  <si>
    <t>Apícola</t>
  </si>
  <si>
    <t>Maní procesado</t>
  </si>
  <si>
    <t>Semillas</t>
  </si>
  <si>
    <t>Aceite de ajonjolí</t>
  </si>
  <si>
    <t>Aceites</t>
  </si>
  <si>
    <t>Litro</t>
  </si>
  <si>
    <t>Mercados</t>
  </si>
  <si>
    <t>País</t>
  </si>
  <si>
    <t>Arancel %</t>
  </si>
  <si>
    <t>Norteamérica</t>
  </si>
  <si>
    <t>Estratégico</t>
  </si>
  <si>
    <t>Potencial</t>
  </si>
  <si>
    <t>Centroamérica</t>
  </si>
  <si>
    <t>El Salvador</t>
  </si>
  <si>
    <t>Europa</t>
  </si>
  <si>
    <t>Nº</t>
  </si>
  <si>
    <t>Pregunta</t>
  </si>
  <si>
    <t>Respuesta</t>
  </si>
  <si>
    <t>¿Cuántas operaciones internacionales se realizaron?</t>
  </si>
  <si>
    <t>24 operaciones</t>
  </si>
  <si>
    <t>¿Cuántas operaciones están pendientes?</t>
  </si>
  <si>
    <t>4 operaciones</t>
  </si>
  <si>
    <t>¿Cuál es el país con mayor cantidad de operaciones?</t>
  </si>
  <si>
    <r>
      <t>EE. UU. y México</t>
    </r>
    <r>
      <rPr>
        <sz val="11"/>
        <color theme="1"/>
        <rFont val="Calibri"/>
        <family val="2"/>
        <scheme val="minor"/>
      </rPr>
      <t>, con 6 operaciones cada uno</t>
    </r>
  </si>
  <si>
    <t>¿Cuál es el país que genera mayor valor FOB?</t>
  </si>
  <si>
    <r>
      <t>EE. UU.</t>
    </r>
    <r>
      <rPr>
        <sz val="11"/>
        <color theme="1"/>
        <rFont val="Calibri"/>
        <family val="2"/>
        <scheme val="minor"/>
      </rPr>
      <t>, con $52,390</t>
    </r>
  </si>
  <si>
    <t>¿Cuál es el producto más exportado por unidades?</t>
  </si>
  <si>
    <r>
      <t>Café especial (P001)</t>
    </r>
    <r>
      <rPr>
        <sz val="11"/>
        <color theme="1"/>
        <rFont val="Calibri"/>
        <family val="2"/>
        <scheme val="minor"/>
      </rPr>
      <t>, con 26,180 kg</t>
    </r>
  </si>
  <si>
    <t>¿Cuál es el producto que genera mayor utilidad?</t>
  </si>
  <si>
    <r>
      <t>Café especial (P001)</t>
    </r>
    <r>
      <rPr>
        <sz val="11"/>
        <color theme="1"/>
        <rFont val="Calibri"/>
        <family val="2"/>
        <scheme val="minor"/>
      </rPr>
      <t>, con una utilidad total de $62,832</t>
    </r>
  </si>
  <si>
    <t>¿Cuál es el mercado con mayor margen promedio?</t>
  </si>
  <si>
    <t>Todos presentan el mismo margen promedio: 36.92%</t>
  </si>
  <si>
    <t>¿Cuántas operaciones tienen rentabilidad alta?</t>
  </si>
  <si>
    <r>
      <t>15 operaciones</t>
    </r>
    <r>
      <rPr>
        <sz val="11"/>
        <color theme="1"/>
        <rFont val="Calibri"/>
        <family val="2"/>
        <scheme val="minor"/>
      </rPr>
      <t xml:space="preserve"> tienen prioridad comercial Alta</t>
    </r>
  </si>
  <si>
    <t>¿Cuánto se exportó hacia Centroamérica?</t>
  </si>
  <si>
    <t>$58,045 FOB</t>
  </si>
  <si>
    <t>¿Cuánto se exportó hacia Norteamérica?</t>
  </si>
  <si>
    <t>$88,985 FOB</t>
  </si>
  <si>
    <t>¿Cuánto se exportó hacia Europa?</t>
  </si>
  <si>
    <t>$23,140 FOB</t>
  </si>
  <si>
    <t>12. ¿Qué operaciones tienen prioridad comercial alta?</t>
  </si>
  <si>
    <t>Las operaciones clasificadas con prioridad comercial Alta son:</t>
  </si>
  <si>
    <t>EX002, EX007, EX012, EX021, EX033, EX037, EX041, EX053, EX057, EX061, EX073, EX077, EX081, EX091 y EX097.</t>
  </si>
  <si>
    <t>En total: 15 operaciones.</t>
  </si>
  <si>
    <t>13. ¿Qué clientes generan mayor valor de exportación?</t>
  </si>
  <si>
    <t>Operaciones</t>
  </si>
  <si>
    <t>Valor FOB</t>
  </si>
  <si>
    <t>$52,390</t>
  </si>
  <si>
    <t>$36,595</t>
  </si>
  <si>
    <t>$33,085</t>
  </si>
  <si>
    <t>$24,960</t>
  </si>
  <si>
    <t>$23,140</t>
  </si>
  <si>
    <t>Por lo tanto, Global Foods es el cliente que genera mayor valor de exportación, con $52,390 FOB.</t>
  </si>
  <si>
    <t>14. ¿Qué operaciones requieren atención por estar pendientes?</t>
  </si>
  <si>
    <t>Operación</t>
  </si>
  <si>
    <t>País destino</t>
  </si>
  <si>
    <t>$4,550</t>
  </si>
  <si>
    <t>$6,175</t>
  </si>
  <si>
    <t>$5,785</t>
  </si>
  <si>
    <t>$6,435</t>
  </si>
  <si>
    <t xml:space="preserve"> Valor FOB por país</t>
  </si>
  <si>
    <t>Etiquetas de fila</t>
  </si>
  <si>
    <t>Suma de Valor FOB (Free On Board</t>
  </si>
  <si>
    <t xml:space="preserve">Este gráfico demuestra que EE.UU.  se consolida como el principal mercado de exportación para NicaExport Trading, S.A. durante este período, liderando la generación de ingresos divisas. Costa Rica se registra con la menor participación económica. </t>
  </si>
  <si>
    <t>Total general</t>
  </si>
  <si>
    <t xml:space="preserve"> Utilidad por producto</t>
  </si>
  <si>
    <r>
      <rPr>
        <sz val="11"/>
        <color rgb="FF000000"/>
        <rFont val="Calibri"/>
        <family val="2"/>
        <scheme val="minor"/>
      </rPr>
      <t xml:space="preserve">Al evaluar la </t>
    </r>
    <r>
      <rPr>
        <sz val="10"/>
        <color rgb="FF000000"/>
        <rFont val="Arial"/>
        <family val="2"/>
      </rPr>
      <t>relación de Utilidad Neta por cartera de productos</t>
    </r>
    <r>
      <rPr>
        <sz val="11"/>
        <color rgb="FF000000"/>
        <rFont val="Calibri"/>
        <family val="2"/>
        <scheme val="minor"/>
      </rPr>
      <t>,  se observa que el Café especial es el portafolio más rentable para la organización, aportando el mayor volumen de ganancias líquidas absolutas, Por otra parte, el producto mani procesado, a pesar de sus volúmenes transaccionados, genera el menor retorno financiero</t>
    </r>
  </si>
  <si>
    <t>Suma de Utilidad:</t>
  </si>
  <si>
    <t xml:space="preserve"> Ventas por región </t>
  </si>
  <si>
    <t>El gráfico de distribución circular evidencia la composición del Valor FOB por bloques regionales, donde Norteamérica abarca la mayor cuota de mercado con un 52.29% del total de las exportaciones. Las regiones de Centroamérica y Europa actúan como mercados de acompañamiento con el 34.11% y 13.60% respectivamente.</t>
  </si>
  <si>
    <t xml:space="preserve">Operaciones por clasificación de prioridad </t>
  </si>
  <si>
    <t>Cuenta de ID_Operación</t>
  </si>
  <si>
    <t>Alta</t>
  </si>
  <si>
    <t>Baja</t>
  </si>
  <si>
    <t>Media</t>
  </si>
  <si>
    <t>INTEGRANTES</t>
  </si>
  <si>
    <t>APORTE PRINCIPAL</t>
  </si>
  <si>
    <t>EVIDENCIA</t>
  </si>
  <si>
    <t xml:space="preserve">PAOLA </t>
  </si>
  <si>
    <t>POWERPOINT Y README</t>
  </si>
  <si>
    <t>SCARLETT</t>
  </si>
  <si>
    <t>FUNCIONES Y CÁLCULOS</t>
  </si>
  <si>
    <t>TABLAS Y GRÁFICOS</t>
  </si>
  <si>
    <t>COMMITS</t>
  </si>
  <si>
    <t>TODOS</t>
  </si>
  <si>
    <t>REVISIÓN FINAL</t>
  </si>
  <si>
    <t>COMMIT FINAL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</si>
</sst>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b/>
      <sz val="16"/>
      <color theme="1"/>
      <name val="Calibri"/>
      <family val="2"/>
      <scheme val="minor"/>
    </font>
    <font>
      <b/>
      <sz val="11"/>
      <color rgb="FF000000"/>
      <name val="Calibri"/>
      <family val="2"/>
      <scheme val="minor"/>
    </font>
    <font>
      <sz val="11"/>
      <color rgb="FF000000"/>
      <name val="Calibri"/>
      <family val="2"/>
      <scheme val="minor"/>
    </font>
    <font>
      <sz val="10"/>
      <color rgb="FF000000"/>
      <name val="Arial"/>
      <family val="2"/>
    </font>
  </fonts>
  <fills count="3">
    <fill>
      <patternFill patternType="none"/>
    </fill>
    <fill>
      <patternFill patternType="gray125"/>
    </fill>
    <fill>
      <patternFill patternType="solid">
        <fgColor theme="3" tint="0.79998168889431442"/>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top/>
      <bottom style="medium">
        <color indexed="64"/>
      </bottom>
      <diagonal/>
    </border>
  </borders>
  <cellStyleXfs count="1">
    <xf numFmtId="0" fontId="0" fillId="0" borderId="0"/>
  </cellStyleXfs>
  <cellXfs count="44">
    <xf numFmtId="0" fontId="0" fillId="0" borderId="0" xfId="0"/>
    <xf numFmtId="0" fontId="0" fillId="0" borderId="1" xfId="0" applyBorder="1"/>
    <xf numFmtId="0" fontId="0" fillId="0" borderId="0" xfId="0" applyAlignment="1">
      <alignment horizontal="center"/>
    </xf>
    <xf numFmtId="0" fontId="0" fillId="0" borderId="0" xfId="0" applyAlignment="1">
      <alignment horizontal="right"/>
    </xf>
    <xf numFmtId="0" fontId="1" fillId="2" borderId="1" xfId="0" applyFont="1" applyFill="1" applyBorder="1" applyAlignment="1">
      <alignment horizontal="center"/>
    </xf>
    <xf numFmtId="0" fontId="1" fillId="0" borderId="0" xfId="0" applyFont="1" applyAlignment="1">
      <alignment vertical="top"/>
    </xf>
    <xf numFmtId="0" fontId="0" fillId="0" borderId="1" xfId="0" applyBorder="1" applyAlignment="1">
      <alignment horizontal="center"/>
    </xf>
    <xf numFmtId="9" fontId="0" fillId="0" borderId="1" xfId="0" applyNumberFormat="1" applyBorder="1"/>
    <xf numFmtId="14" fontId="0" fillId="0" borderId="1" xfId="0" applyNumberFormat="1" applyBorder="1" applyAlignment="1">
      <alignment horizontal="center"/>
    </xf>
    <xf numFmtId="0" fontId="0" fillId="0" borderId="2" xfId="0" applyBorder="1"/>
    <xf numFmtId="0" fontId="0" fillId="0" borderId="3" xfId="0" applyBorder="1" applyAlignment="1">
      <alignment horizontal="right"/>
    </xf>
    <xf numFmtId="0" fontId="1" fillId="2" borderId="4" xfId="0" applyFont="1" applyFill="1" applyBorder="1" applyAlignment="1">
      <alignment horizontal="center"/>
    </xf>
    <xf numFmtId="0" fontId="1" fillId="2" borderId="5" xfId="0" applyFont="1" applyFill="1" applyBorder="1" applyAlignment="1">
      <alignment horizontal="center"/>
    </xf>
    <xf numFmtId="0" fontId="1" fillId="2" borderId="6" xfId="0" applyFont="1" applyFill="1" applyBorder="1" applyAlignment="1">
      <alignment horizontal="center"/>
    </xf>
    <xf numFmtId="0" fontId="0" fillId="0" borderId="7" xfId="0" applyBorder="1"/>
    <xf numFmtId="14" fontId="0" fillId="0" borderId="8" xfId="0" applyNumberFormat="1" applyBorder="1" applyAlignment="1">
      <alignment horizontal="center"/>
    </xf>
    <xf numFmtId="0" fontId="0" fillId="0" borderId="8" xfId="0" applyBorder="1"/>
    <xf numFmtId="0" fontId="0" fillId="0" borderId="8" xfId="0" applyBorder="1" applyAlignment="1">
      <alignment horizontal="center"/>
    </xf>
    <xf numFmtId="0" fontId="0" fillId="0" borderId="9" xfId="0" applyBorder="1" applyAlignment="1">
      <alignment horizontal="right"/>
    </xf>
    <xf numFmtId="0" fontId="0" fillId="0" borderId="10" xfId="0" applyBorder="1"/>
    <xf numFmtId="0" fontId="0" fillId="0" borderId="2" xfId="0" applyBorder="1" applyAlignment="1">
      <alignment horizontal="center"/>
    </xf>
    <xf numFmtId="0" fontId="0" fillId="0" borderId="3" xfId="0" applyBorder="1" applyAlignment="1">
      <alignment horizontal="center"/>
    </xf>
    <xf numFmtId="0" fontId="0" fillId="0" borderId="7" xfId="0" applyBorder="1" applyAlignment="1">
      <alignment horizontal="center"/>
    </xf>
    <xf numFmtId="0" fontId="0" fillId="0" borderId="9" xfId="0" applyBorder="1" applyAlignment="1">
      <alignment horizontal="center"/>
    </xf>
    <xf numFmtId="0" fontId="0" fillId="0" borderId="5" xfId="0" applyBorder="1"/>
    <xf numFmtId="0" fontId="0" fillId="0" borderId="0" xfId="0" pivotButton="1"/>
    <xf numFmtId="0" fontId="0" fillId="0" borderId="0" xfId="0" applyAlignment="1">
      <alignment horizontal="left"/>
    </xf>
    <xf numFmtId="4" fontId="0" fillId="0" borderId="1" xfId="0" applyNumberFormat="1" applyBorder="1"/>
    <xf numFmtId="4" fontId="0" fillId="0" borderId="8" xfId="0" applyNumberFormat="1" applyBorder="1"/>
    <xf numFmtId="4" fontId="0" fillId="0" borderId="0" xfId="0" applyNumberFormat="1"/>
    <xf numFmtId="0" fontId="1" fillId="0" borderId="0" xfId="0" applyFont="1"/>
    <xf numFmtId="0" fontId="0" fillId="0" borderId="11" xfId="0" applyBorder="1"/>
    <xf numFmtId="4" fontId="0" fillId="0" borderId="11" xfId="0" applyNumberFormat="1" applyBorder="1"/>
    <xf numFmtId="0" fontId="2" fillId="0" borderId="0" xfId="0" applyFont="1"/>
    <xf numFmtId="0" fontId="1" fillId="0" borderId="0" xfId="0" applyFont="1" applyAlignment="1">
      <alignment horizontal="center"/>
    </xf>
    <xf numFmtId="0" fontId="0" fillId="0" borderId="0" xfId="0" applyAlignment="1">
      <alignment wrapText="1"/>
    </xf>
    <xf numFmtId="0" fontId="3" fillId="0" borderId="0" xfId="0" applyFont="1" applyAlignment="1">
      <alignment horizontal="center"/>
    </xf>
    <xf numFmtId="0" fontId="0" fillId="0" borderId="0" xfId="0" applyAlignment="1">
      <alignment vertical="top" wrapText="1"/>
    </xf>
    <xf numFmtId="0" fontId="0" fillId="0" borderId="0" xfId="0" pivotButton="1" applyAlignment="1">
      <alignment vertical="center"/>
    </xf>
    <xf numFmtId="0" fontId="0" fillId="0" borderId="0" xfId="0" applyAlignment="1">
      <alignment vertical="center"/>
    </xf>
    <xf numFmtId="0" fontId="4" fillId="0" borderId="0" xfId="0" applyFont="1" applyAlignment="1">
      <alignment wrapText="1"/>
    </xf>
    <xf numFmtId="0" fontId="0" fillId="0" borderId="0" xfId="0" applyAlignment="1">
      <alignment horizontal="center"/>
    </xf>
    <xf numFmtId="0" fontId="3" fillId="0" borderId="0" xfId="0" applyFont="1" applyAlignment="1">
      <alignment horizontal="center"/>
    </xf>
    <xf numFmtId="0" fontId="1" fillId="0" borderId="0" xfId="0" applyFont="1" applyAlignment="1">
      <alignment horizontal="center"/>
    </xf>
  </cellXfs>
  <cellStyles count="1">
    <cellStyle name="Normal" xfId="0" builtinId="0"/>
  </cellStyles>
  <dxfs count="57">
    <dxf>
      <border diagonalUp="0" diagonalDown="0" outline="0">
        <left/>
        <right/>
        <top style="thin">
          <color indexed="64"/>
        </top>
        <bottom/>
      </border>
    </dxf>
    <dxf>
      <border diagonalUp="0" diagonalDown="0" outline="0">
        <left/>
        <right/>
        <top style="thin">
          <color indexed="64"/>
        </top>
        <bottom/>
      </border>
    </dxf>
    <dxf>
      <border diagonalUp="0" diagonalDown="0" outline="0">
        <left/>
        <right/>
        <top style="thin">
          <color indexed="64"/>
        </top>
        <bottom/>
      </border>
    </dxf>
    <dxf>
      <border diagonalUp="0" diagonalDown="0" outline="0">
        <left/>
        <right/>
        <top style="thin">
          <color indexed="64"/>
        </top>
        <bottom/>
      </border>
    </dxf>
    <dxf>
      <border diagonalUp="0" diagonalDown="0" outline="0">
        <left style="thin">
          <color indexed="64"/>
        </left>
        <right style="thin">
          <color indexed="64"/>
        </right>
        <top style="thin">
          <color indexed="64"/>
        </top>
        <bottom/>
      </border>
    </dxf>
    <dxf>
      <border diagonalUp="0" diagonalDown="0" outline="0">
        <left style="thin">
          <color indexed="64"/>
        </left>
        <right style="thin">
          <color indexed="64"/>
        </right>
        <top style="thin">
          <color indexed="64"/>
        </top>
        <bottom/>
      </border>
    </dxf>
    <dxf>
      <alignment horizontal="right" vertical="bottom" textRotation="0" wrapText="0" indent="0" justifyLastLine="0" shrinkToFit="0" readingOrder="0"/>
      <border diagonalUp="0" diagonalDown="0" outline="0">
        <left style="thin">
          <color indexed="64"/>
        </left>
        <right/>
        <top style="thin">
          <color indexed="64"/>
        </top>
        <bottom/>
      </border>
    </dxf>
    <dxf>
      <border diagonalUp="0" diagonalDown="0" outline="0">
        <left style="thin">
          <color indexed="64"/>
        </left>
        <right style="thin">
          <color indexed="64"/>
        </right>
        <top style="thin">
          <color indexed="64"/>
        </top>
        <bottom/>
      </border>
    </dxf>
    <dxf>
      <border diagonalUp="0" diagonalDown="0" outline="0">
        <left style="thin">
          <color indexed="64"/>
        </left>
        <right style="thin">
          <color indexed="64"/>
        </right>
        <top style="thin">
          <color indexed="64"/>
        </top>
        <bottom/>
      </border>
    </dxf>
    <dxf>
      <border diagonalUp="0" diagonalDown="0" outline="0">
        <left style="thin">
          <color indexed="64"/>
        </left>
        <right style="thin">
          <color indexed="64"/>
        </right>
        <top style="thin">
          <color indexed="64"/>
        </top>
        <bottom/>
      </border>
    </dxf>
    <dxf>
      <border diagonalUp="0" diagonalDown="0" outline="0">
        <left style="thin">
          <color indexed="64"/>
        </left>
        <right style="thin">
          <color indexed="64"/>
        </right>
        <top style="thin">
          <color indexed="64"/>
        </top>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border diagonalUp="0" diagonalDown="0" outline="0">
        <left style="thin">
          <color indexed="64"/>
        </left>
        <right style="thin">
          <color indexed="64"/>
        </right>
        <top style="thin">
          <color indexed="64"/>
        </top>
        <bottom/>
      </border>
    </dxf>
    <dxf>
      <numFmt numFmtId="19" formatCode="d/m/yyyy"/>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border diagonalUp="0" diagonalDown="0" outline="0">
        <left/>
        <right style="thin">
          <color indexed="64"/>
        </right>
        <top style="thin">
          <color indexed="64"/>
        </top>
        <bottom/>
      </border>
    </dxf>
    <dxf>
      <numFmt numFmtId="4" formatCode="#,##0.00"/>
    </dxf>
    <dxf>
      <numFmt numFmtId="4" formatCode="#,##0.00"/>
    </dxf>
    <dxf>
      <alignment vertical="center"/>
    </dxf>
    <dxf>
      <alignment vertical="center"/>
    </dxf>
    <dxf>
      <numFmt numFmtId="4" formatCode="#,##0.00"/>
    </dxf>
    <dxf>
      <numFmt numFmtId="4" formatCode="#,##0.00"/>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Calibri"/>
        <family val="2"/>
        <scheme val="minor"/>
      </font>
      <fill>
        <patternFill patternType="solid">
          <fgColor indexed="64"/>
          <bgColor theme="3" tint="0.79998168889431442"/>
        </patternFill>
      </fill>
      <alignment horizontal="center" vertical="bottom" textRotation="0" wrapText="0" indent="0" justifyLastLine="0" shrinkToFit="0" readingOrder="0"/>
      <border diagonalUp="0" diagonalDown="0" outline="0">
        <left style="thin">
          <color indexed="64"/>
        </left>
        <right style="thin">
          <color indexed="64"/>
        </right>
        <top/>
        <bottom/>
      </border>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border diagonalUp="0" diagonalDown="0">
        <left style="thin">
          <color indexed="64"/>
        </left>
        <right style="thin">
          <color indexed="64"/>
        </right>
        <top style="thin">
          <color indexed="64"/>
        </top>
        <bottom style="thin">
          <color indexed="64"/>
        </bottom>
        <vertical/>
        <horizontal/>
      </border>
    </dxf>
    <dxf>
      <numFmt numFmtId="0" formatCode="General"/>
      <border diagonalUp="0" diagonalDown="0">
        <left style="thin">
          <color indexed="64"/>
        </left>
        <right style="thin">
          <color indexed="64"/>
        </right>
        <top style="thin">
          <color indexed="64"/>
        </top>
        <bottom style="thin">
          <color indexed="64"/>
        </bottom>
        <vertical/>
        <horizontal/>
      </border>
    </dxf>
    <dxf>
      <alignment horizontal="right" vertical="bottom" textRotation="0" wrapText="0" indent="0" justifyLastLine="0" shrinkToFit="0" readingOrder="0"/>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9" formatCode="d/m/yyyy"/>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Calibri"/>
        <family val="2"/>
        <scheme val="minor"/>
      </font>
      <fill>
        <patternFill patternType="solid">
          <fgColor indexed="64"/>
          <bgColor theme="3" tint="0.79998168889431442"/>
        </patternFill>
      </fill>
      <alignment horizontal="center" vertical="bottom"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[Análisis comercio internacional.xlsx] Gráficos y  Tablas dinámicas  !TablaDinámica1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NI"/>
              <a:t>Valor FOB por país.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NI"/>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NI"/>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 Gráficos y  Tablas dinámicas  '!$B$3</c:f>
              <c:strCache>
                <c:ptCount val="1"/>
                <c:pt idx="0">
                  <c:v>Total</c:v>
                </c:pt>
              </c:strCache>
            </c:strRef>
          </c:tx>
          <c:spPr>
            <a:solidFill>
              <a:schemeClr val="accent1"/>
            </a:solidFill>
            <a:ln>
              <a:noFill/>
            </a:ln>
            <a:effectLst/>
          </c:spPr>
          <c:invertIfNegative val="0"/>
          <c:cat>
            <c:strRef>
              <c:f>' Gráficos y  Tablas dinámicas  '!$A$4:$A$9</c:f>
              <c:strCache>
                <c:ptCount val="5"/>
                <c:pt idx="0">
                  <c:v>Costa Rica</c:v>
                </c:pt>
                <c:pt idx="1">
                  <c:v>EE.UU.</c:v>
                </c:pt>
                <c:pt idx="2">
                  <c:v>España</c:v>
                </c:pt>
                <c:pt idx="3">
                  <c:v>Guatemala</c:v>
                </c:pt>
                <c:pt idx="4">
                  <c:v>México</c:v>
                </c:pt>
              </c:strCache>
            </c:strRef>
          </c:cat>
          <c:val>
            <c:numRef>
              <c:f>' Gráficos y  Tablas dinámicas  '!$B$4:$B$9</c:f>
              <c:numCache>
                <c:formatCode>#,##0.00</c:formatCode>
                <c:ptCount val="5"/>
                <c:pt idx="0">
                  <c:v>113544</c:v>
                </c:pt>
                <c:pt idx="1">
                  <c:v>168745</c:v>
                </c:pt>
                <c:pt idx="2">
                  <c:v>136328</c:v>
                </c:pt>
                <c:pt idx="3">
                  <c:v>119335</c:v>
                </c:pt>
                <c:pt idx="4">
                  <c:v>120313</c:v>
                </c:pt>
              </c:numCache>
            </c:numRef>
          </c:val>
          <c:extLst>
            <c:ext xmlns:c16="http://schemas.microsoft.com/office/drawing/2014/chart" uri="{C3380CC4-5D6E-409C-BE32-E72D297353CC}">
              <c16:uniqueId val="{00000000-BD42-42A2-9C6D-0E774DA610DD}"/>
            </c:ext>
          </c:extLst>
        </c:ser>
        <c:dLbls>
          <c:showLegendKey val="0"/>
          <c:showVal val="0"/>
          <c:showCatName val="0"/>
          <c:showSerName val="0"/>
          <c:showPercent val="0"/>
          <c:showBubbleSize val="0"/>
        </c:dLbls>
        <c:gapWidth val="219"/>
        <c:overlap val="-27"/>
        <c:axId val="426306016"/>
        <c:axId val="19451248"/>
      </c:barChart>
      <c:catAx>
        <c:axId val="4263060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NI"/>
          </a:p>
        </c:txPr>
        <c:crossAx val="19451248"/>
        <c:crosses val="autoZero"/>
        <c:auto val="1"/>
        <c:lblAlgn val="ctr"/>
        <c:lblOffset val="100"/>
        <c:noMultiLvlLbl val="0"/>
      </c:catAx>
      <c:valAx>
        <c:axId val="1945124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NI"/>
          </a:p>
        </c:txPr>
        <c:crossAx val="4263060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NI"/>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NI"/>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[Análisis comercio internacional.xlsx] Gráficos y  Tablas dinámicas  !TablaDinámica2</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Utilidad por producto.</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NI"/>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NI"/>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2543174750215048"/>
          <c:y val="0.19399141513560803"/>
          <c:w val="0.48094311740444207"/>
          <c:h val="0.72198682195975505"/>
        </c:manualLayout>
      </c:layout>
      <c:barChart>
        <c:barDir val="bar"/>
        <c:grouping val="clustered"/>
        <c:varyColors val="0"/>
        <c:ser>
          <c:idx val="0"/>
          <c:order val="0"/>
          <c:tx>
            <c:strRef>
              <c:f>' Gráficos y  Tablas dinámicas  '!$B$24</c:f>
              <c:strCache>
                <c:ptCount val="1"/>
                <c:pt idx="0">
                  <c:v>Total</c:v>
                </c:pt>
              </c:strCache>
            </c:strRef>
          </c:tx>
          <c:spPr>
            <a:solidFill>
              <a:schemeClr val="accent1"/>
            </a:solidFill>
            <a:ln>
              <a:noFill/>
            </a:ln>
            <a:effectLst/>
          </c:spPr>
          <c:invertIfNegative val="0"/>
          <c:cat>
            <c:strRef>
              <c:f>' Gráficos y  Tablas dinámicas  '!$A$25:$A$30</c:f>
              <c:strCache>
                <c:ptCount val="5"/>
                <c:pt idx="0">
                  <c:v>P001</c:v>
                </c:pt>
                <c:pt idx="1">
                  <c:v>P002</c:v>
                </c:pt>
                <c:pt idx="2">
                  <c:v>P003</c:v>
                </c:pt>
                <c:pt idx="3">
                  <c:v>P004</c:v>
                </c:pt>
                <c:pt idx="4">
                  <c:v>P005</c:v>
                </c:pt>
              </c:strCache>
            </c:strRef>
          </c:cat>
          <c:val>
            <c:numRef>
              <c:f>' Gráficos y  Tablas dinámicas  '!$B$25:$B$30</c:f>
              <c:numCache>
                <c:formatCode>#,##0.00</c:formatCode>
                <c:ptCount val="5"/>
                <c:pt idx="0">
                  <c:v>62832</c:v>
                </c:pt>
                <c:pt idx="1">
                  <c:v>36800</c:v>
                </c:pt>
                <c:pt idx="2">
                  <c:v>38688</c:v>
                </c:pt>
                <c:pt idx="3">
                  <c:v>33533.999999999993</c:v>
                </c:pt>
                <c:pt idx="4">
                  <c:v>42218</c:v>
                </c:pt>
              </c:numCache>
            </c:numRef>
          </c:val>
          <c:extLst>
            <c:ext xmlns:c16="http://schemas.microsoft.com/office/drawing/2014/chart" uri="{C3380CC4-5D6E-409C-BE32-E72D297353CC}">
              <c16:uniqueId val="{00000000-F405-4899-9FD8-E4F7D0DC0F0B}"/>
            </c:ext>
          </c:extLst>
        </c:ser>
        <c:dLbls>
          <c:showLegendKey val="0"/>
          <c:showVal val="0"/>
          <c:showCatName val="0"/>
          <c:showSerName val="0"/>
          <c:showPercent val="0"/>
          <c:showBubbleSize val="0"/>
        </c:dLbls>
        <c:gapWidth val="182"/>
        <c:axId val="22777279"/>
        <c:axId val="19429168"/>
      </c:barChart>
      <c:catAx>
        <c:axId val="227772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NI"/>
          </a:p>
        </c:txPr>
        <c:crossAx val="19429168"/>
        <c:crosses val="autoZero"/>
        <c:auto val="1"/>
        <c:lblAlgn val="ctr"/>
        <c:lblOffset val="100"/>
        <c:noMultiLvlLbl val="0"/>
      </c:catAx>
      <c:valAx>
        <c:axId val="19429168"/>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NI"/>
          </a:p>
        </c:txPr>
        <c:crossAx val="227772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NI"/>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NI"/>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[Análisis comercio internacional.xlsx] Gráficos y  Tablas dinámicas  !TablaDinámica6</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NI"/>
              <a:t>Valor FOB por región.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NI"/>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NI"/>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s>
    <c:plotArea>
      <c:layout/>
      <c:doughnutChart>
        <c:varyColors val="1"/>
        <c:ser>
          <c:idx val="0"/>
          <c:order val="0"/>
          <c:tx>
            <c:strRef>
              <c:f>' Gráficos y  Tablas dinámicas  '!$B$39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01F-4D7A-9A1F-E6608D7242D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01F-4D7A-9A1F-E6608D7242D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01F-4D7A-9A1F-E6608D7242D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01F-4D7A-9A1F-E6608D7242DC}"/>
              </c:ext>
            </c:extLst>
          </c:dPt>
          <c:cat>
            <c:strRef>
              <c:f>' Gráficos y  Tablas dinámicas  '!$A$40:$A$43</c:f>
              <c:strCache>
                <c:ptCount val="3"/>
                <c:pt idx="0">
                  <c:v>Centroamérica</c:v>
                </c:pt>
                <c:pt idx="1">
                  <c:v>Europa</c:v>
                </c:pt>
                <c:pt idx="2">
                  <c:v>Norteamérica</c:v>
                </c:pt>
              </c:strCache>
            </c:strRef>
          </c:cat>
          <c:val>
            <c:numRef>
              <c:f>' Gráficos y  Tablas dinámicas  '!$B$40:$B$43</c:f>
              <c:numCache>
                <c:formatCode>#,##0.00</c:formatCode>
                <c:ptCount val="3"/>
                <c:pt idx="0">
                  <c:v>58045</c:v>
                </c:pt>
                <c:pt idx="1">
                  <c:v>23140</c:v>
                </c:pt>
                <c:pt idx="2">
                  <c:v>88985</c:v>
                </c:pt>
              </c:numCache>
            </c:numRef>
          </c:val>
          <c:extLst>
            <c:ext xmlns:c16="http://schemas.microsoft.com/office/drawing/2014/chart" uri="{C3380CC4-5D6E-409C-BE32-E72D297353CC}">
              <c16:uniqueId val="{00000000-9906-491C-8427-CBE69DDC8055}"/>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NI"/>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NI"/>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0</xdr:colOff>
      <xdr:row>0</xdr:row>
      <xdr:rowOff>76200</xdr:rowOff>
    </xdr:from>
    <xdr:to>
      <xdr:col>7</xdr:col>
      <xdr:colOff>609600</xdr:colOff>
      <xdr:row>15</xdr:row>
      <xdr:rowOff>76200</xdr:rowOff>
    </xdr:to>
    <xdr:graphicFrame macro="">
      <xdr:nvGraphicFramePr>
        <xdr:cNvPr id="2" name="Gráfico 1">
          <a:extLst>
            <a:ext uri="{FF2B5EF4-FFF2-40B4-BE49-F238E27FC236}">
              <a16:creationId xmlns:a16="http://schemas.microsoft.com/office/drawing/2014/main" id="{F344B6E5-227B-449F-9EF0-E11255476C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7620</xdr:colOff>
      <xdr:row>18</xdr:row>
      <xdr:rowOff>160020</xdr:rowOff>
    </xdr:from>
    <xdr:to>
      <xdr:col>7</xdr:col>
      <xdr:colOff>617220</xdr:colOff>
      <xdr:row>33</xdr:row>
      <xdr:rowOff>160020</xdr:rowOff>
    </xdr:to>
    <xdr:graphicFrame macro="">
      <xdr:nvGraphicFramePr>
        <xdr:cNvPr id="3" name="Gráfico 2">
          <a:extLst>
            <a:ext uri="{FF2B5EF4-FFF2-40B4-BE49-F238E27FC236}">
              <a16:creationId xmlns:a16="http://schemas.microsoft.com/office/drawing/2014/main" id="{BF4D8C64-D1D8-E136-0FC9-73C8F4A61B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137160</xdr:colOff>
      <xdr:row>36</xdr:row>
      <xdr:rowOff>118110</xdr:rowOff>
    </xdr:from>
    <xdr:to>
      <xdr:col>7</xdr:col>
      <xdr:colOff>746760</xdr:colOff>
      <xdr:row>51</xdr:row>
      <xdr:rowOff>118110</xdr:rowOff>
    </xdr:to>
    <xdr:graphicFrame macro="">
      <xdr:nvGraphicFramePr>
        <xdr:cNvPr id="4" name="Gráfico 3">
          <a:extLst>
            <a:ext uri="{FF2B5EF4-FFF2-40B4-BE49-F238E27FC236}">
              <a16:creationId xmlns:a16="http://schemas.microsoft.com/office/drawing/2014/main" id="{980E3101-C027-14B1-5AF4-9ACCD4C4F38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dias Lopez" refreshedDate="46275.003495254627" createdVersion="8" refreshedVersion="8" minRefreshableVersion="3" recordCount="100" xr:uid="{1ED4442D-3615-48F3-8CAA-838D3C918FF8}">
  <cacheSource type="worksheet">
    <worksheetSource name="Tabla1"/>
  </cacheSource>
  <cacheFields count="17">
    <cacheField name="ID_Operación" numFmtId="0">
      <sharedItems count="100">
        <s v="EX001"/>
        <s v="EX002"/>
        <s v="EX003"/>
        <s v="EX004"/>
        <s v="EX005"/>
        <s v="EX006"/>
        <s v="EX007"/>
        <s v="EX008"/>
        <s v="EX009"/>
        <s v="EX010"/>
        <s v="EX011"/>
        <s v="EX012"/>
        <s v="EX013"/>
        <s v="EX014"/>
        <s v="EX015"/>
        <s v="EX016"/>
        <s v="EX017"/>
        <s v="EX018"/>
        <s v="EX019"/>
        <s v="EX020"/>
        <s v="EX021"/>
        <s v="EX022"/>
        <s v="EX023"/>
        <s v="EX024"/>
        <s v="EX025"/>
        <s v="EX026"/>
        <s v="EX027"/>
        <s v="EX028"/>
        <s v="EX029"/>
        <s v="EX030"/>
        <s v="EX031"/>
        <s v="EX032"/>
        <s v="EX033"/>
        <s v="EX034"/>
        <s v="EX035"/>
        <s v="EX036"/>
        <s v="EX037"/>
        <s v="EX038"/>
        <s v="EX039"/>
        <s v="EX040"/>
        <s v="EX041"/>
        <s v="EX042"/>
        <s v="EX043"/>
        <s v="EX044"/>
        <s v="EX045"/>
        <s v="EX046"/>
        <s v="EX047"/>
        <s v="EX048"/>
        <s v="EX049"/>
        <s v="EX050"/>
        <s v="EX051"/>
        <s v="EX052"/>
        <s v="EX053"/>
        <s v="EX054"/>
        <s v="EX055"/>
        <s v="EX056"/>
        <s v="EX057"/>
        <s v="EX058"/>
        <s v="EX059"/>
        <s v="EX060"/>
        <s v="EX061"/>
        <s v="EX062"/>
        <s v="EX063"/>
        <s v="EX064"/>
        <s v="EX065"/>
        <s v="EX066"/>
        <s v="EX067"/>
        <s v="EX068"/>
        <s v="EX069"/>
        <s v="EX070"/>
        <s v="EX071"/>
        <s v="EX072"/>
        <s v="EX073"/>
        <s v="EX074"/>
        <s v="EX075"/>
        <s v="EX076"/>
        <s v="EX077"/>
        <s v="EX078"/>
        <s v="EX079"/>
        <s v="EX080"/>
        <s v="EX081"/>
        <s v="EX082"/>
        <s v="EX083"/>
        <s v="EX084"/>
        <s v="EX085"/>
        <s v="EX086"/>
        <s v="EX087"/>
        <s v="EX088"/>
        <s v="EX089"/>
        <s v="EX090"/>
        <s v="EX091"/>
        <s v="EX092"/>
        <s v="EX093"/>
        <s v="EX094"/>
        <s v="EX095"/>
        <s v="EX096"/>
        <s v="EX097"/>
        <s v="EX098"/>
        <s v="EX099"/>
        <s v="EX100"/>
      </sharedItems>
    </cacheField>
    <cacheField name="Fecha" numFmtId="14">
      <sharedItems containsSemiMixedTypes="0" containsNonDate="0" containsDate="1" containsString="0" minDate="2026-01-04T00:00:00" maxDate="2026-12-31T00:00:00"/>
    </cacheField>
    <cacheField name="Cliente" numFmtId="0">
      <sharedItems/>
    </cacheField>
    <cacheField name="Código Producto" numFmtId="0">
      <sharedItems count="5">
        <s v="P003"/>
        <s v="P001"/>
        <s v="P004"/>
        <s v="P002"/>
        <s v="P005"/>
      </sharedItems>
    </cacheField>
    <cacheField name="País Destino" numFmtId="0">
      <sharedItems count="5">
        <s v="Guatemala"/>
        <s v="EE.UU."/>
        <s v="Costa Rica"/>
        <s v="España"/>
        <s v="México"/>
      </sharedItems>
    </cacheField>
    <cacheField name="Unidades" numFmtId="0">
      <sharedItems containsSemiMixedTypes="0" containsString="0" containsNumber="1" containsInteger="1" minValue="450" maxValue="1550"/>
    </cacheField>
    <cacheField name="Precio FOB" numFmtId="0">
      <sharedItems containsSemiMixedTypes="0" containsString="0" containsNumber="1" minValue="4.8" maxValue="12.5"/>
    </cacheField>
    <cacheField name="Costo Unitario" numFmtId="0">
      <sharedItems containsSemiMixedTypes="0" containsString="0" containsNumber="1" minValue="3.2" maxValue="8.6999999999999993"/>
    </cacheField>
    <cacheField name="Estado" numFmtId="0">
      <sharedItems/>
    </cacheField>
    <cacheField name="Valor FOB (Free On Board" numFmtId="0">
      <sharedItems containsSemiMixedTypes="0" containsString="0" containsNumber="1" minValue="2976" maxValue="10659.999999999998"/>
    </cacheField>
    <cacheField name="Costo total" numFmtId="0">
      <sharedItems containsSemiMixedTypes="0" containsString="0" containsNumber="1" minValue="1984" maxValue="7670.0000000000009"/>
    </cacheField>
    <cacheField name="Utilidad:" numFmtId="0">
      <sharedItems containsSemiMixedTypes="0" containsString="0" containsNumber="1" minValue="992" maxValue="3600.0000000000009"/>
    </cacheField>
    <cacheField name="Margen" numFmtId="0">
      <sharedItems containsSemiMixedTypes="0" containsString="0" containsNumber="1" minValue="0.28048780487804859" maxValue="0.36923076923076936"/>
    </cacheField>
    <cacheField name="Clasificación" numFmtId="0">
      <sharedItems/>
    </cacheField>
    <cacheField name="Tipo de Mercado" numFmtId="0">
      <sharedItems/>
    </cacheField>
    <cacheField name=" Prioridad comercial" numFmtId="0">
      <sharedItems count="3">
        <s v="Alta"/>
        <s v="Media"/>
        <s v="Baja"/>
      </sharedItems>
    </cacheField>
    <cacheField name="Región" numFmtId="0">
      <sharedItems containsBlank="1" count="4">
        <m/>
        <s v="Norteamérica"/>
        <s v="Centroamérica"/>
        <s v="Europa"/>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x v="0"/>
    <d v="2026-01-05T00:00:00"/>
    <s v="Comercial Maya"/>
    <x v="0"/>
    <x v="0"/>
    <n v="850"/>
    <n v="4.8"/>
    <n v="3.2"/>
    <s v="Embarcado"/>
    <n v="4080"/>
    <n v="2720"/>
    <n v="1360"/>
    <n v="0.33333333333333331"/>
    <s v="Pequeno"/>
    <s v="Estratégico"/>
    <x v="0"/>
    <x v="0"/>
  </r>
  <r>
    <x v="1"/>
    <d v="2026-01-12T00:00:00"/>
    <s v="Global Foods"/>
    <x v="1"/>
    <x v="1"/>
    <n v="1200"/>
    <n v="6.5"/>
    <n v="4.0999999999999996"/>
    <s v="Entregado"/>
    <n v="7800"/>
    <n v="4920"/>
    <n v="2880"/>
    <n v="0.36923076923076925"/>
    <s v="Mediano"/>
    <s v="Estratégico"/>
    <x v="0"/>
    <x v="1"/>
  </r>
  <r>
    <x v="2"/>
    <d v="2026-01-20T00:00:00"/>
    <s v="Distribuidora Tica"/>
    <x v="2"/>
    <x v="2"/>
    <n v="650"/>
    <n v="8.1999999999999993"/>
    <n v="5.9"/>
    <s v="Embarcado"/>
    <n v="5329.9999999999991"/>
    <n v="3835.0000000000005"/>
    <n v="1494.9999999999986"/>
    <n v="0.28048780487804859"/>
    <s v="Mediano"/>
    <s v="Estratégico"/>
    <x v="1"/>
    <x v="0"/>
  </r>
  <r>
    <x v="3"/>
    <d v="2026-02-03T00:00:00"/>
    <s v="Iberia Foods"/>
    <x v="3"/>
    <x v="3"/>
    <n v="950"/>
    <n v="7.1"/>
    <n v="4.8"/>
    <s v="Pendiente"/>
    <n v="6745"/>
    <n v="4560"/>
    <n v="2185"/>
    <n v="0.323943661971831"/>
    <s v="Mediano"/>
    <s v="Potencial"/>
    <x v="1"/>
    <x v="0"/>
  </r>
  <r>
    <x v="4"/>
    <d v="2026-02-15T00:00:00"/>
    <s v="Comercial Azteca"/>
    <x v="4"/>
    <x v="4"/>
    <n v="500"/>
    <n v="12.5"/>
    <n v="8.6999999999999993"/>
    <s v="Entregado"/>
    <n v="6250"/>
    <n v="4350"/>
    <n v="1900"/>
    <n v="0.30399999999999999"/>
    <s v="Mediano"/>
    <s v="Potencial"/>
    <x v="1"/>
    <x v="0"/>
  </r>
  <r>
    <x v="5"/>
    <d v="2026-02-28T00:00:00"/>
    <s v="Global Foods"/>
    <x v="0"/>
    <x v="1"/>
    <n v="1400"/>
    <n v="4.8"/>
    <n v="3.2"/>
    <s v="Entregado"/>
    <n v="6720"/>
    <n v="4480"/>
    <n v="2240"/>
    <n v="0.33333333333333331"/>
    <s v="Mediano"/>
    <s v="Estratégico"/>
    <x v="0"/>
    <x v="0"/>
  </r>
  <r>
    <x v="6"/>
    <d v="2026-03-08T00:00:00"/>
    <s v="Distribuidora Tica"/>
    <x v="1"/>
    <x v="2"/>
    <n v="900"/>
    <n v="6.5"/>
    <n v="4.0999999999999996"/>
    <s v="Embarcado"/>
    <n v="5850"/>
    <n v="3689.9999999999995"/>
    <n v="2160.0000000000005"/>
    <n v="0.36923076923076931"/>
    <s v="Mediano"/>
    <s v="Estratégico"/>
    <x v="0"/>
    <x v="2"/>
  </r>
  <r>
    <x v="7"/>
    <d v="2026-03-18T00:00:00"/>
    <s v="Comercial Maya"/>
    <x v="2"/>
    <x v="0"/>
    <n v="750"/>
    <n v="8.1999999999999993"/>
    <n v="5.9"/>
    <s v="Entregado"/>
    <n v="6149.9999999999991"/>
    <n v="4425"/>
    <n v="1724.9999999999991"/>
    <n v="0.2804878048780487"/>
    <s v="Mediano"/>
    <s v="Estratégico"/>
    <x v="1"/>
    <x v="0"/>
  </r>
  <r>
    <x v="8"/>
    <d v="2026-03-25T00:00:00"/>
    <s v="Iberia Foods"/>
    <x v="4"/>
    <x v="3"/>
    <n v="600"/>
    <n v="12.5"/>
    <n v="8.6999999999999993"/>
    <s v="Embarcado"/>
    <n v="7500"/>
    <n v="5220"/>
    <n v="2280"/>
    <n v="0.30399999999999999"/>
    <s v="Mediano"/>
    <s v="Potencial"/>
    <x v="1"/>
    <x v="0"/>
  </r>
  <r>
    <x v="9"/>
    <d v="2026-04-02T00:00:00"/>
    <s v="Comercial Azteca"/>
    <x v="3"/>
    <x v="4"/>
    <n v="1100"/>
    <n v="7.1"/>
    <n v="4.8"/>
    <s v="Entregado"/>
    <n v="7810"/>
    <n v="5280"/>
    <n v="2530"/>
    <n v="0.323943661971831"/>
    <s v="Mediano"/>
    <s v="Potencial"/>
    <x v="1"/>
    <x v="0"/>
  </r>
  <r>
    <x v="10"/>
    <d v="2026-04-10T00:00:00"/>
    <s v="Global Foods"/>
    <x v="2"/>
    <x v="1"/>
    <n v="1300"/>
    <n v="8.1999999999999993"/>
    <n v="5.9"/>
    <s v="Entregado"/>
    <n v="10659.999999999998"/>
    <n v="7670.0000000000009"/>
    <n v="2989.9999999999973"/>
    <n v="0.28048780487804859"/>
    <s v="Grande"/>
    <s v="Estratégico"/>
    <x v="1"/>
    <x v="0"/>
  </r>
  <r>
    <x v="11"/>
    <d v="2026-04-18T00:00:00"/>
    <s v="Comercial Maya"/>
    <x v="1"/>
    <x v="0"/>
    <n v="700"/>
    <n v="6.5"/>
    <n v="4.0999999999999996"/>
    <s v="Pendiente"/>
    <n v="4550"/>
    <n v="2869.9999999999995"/>
    <n v="1680.0000000000005"/>
    <n v="0.36923076923076931"/>
    <s v="Pequeno"/>
    <s v="Estratégico"/>
    <x v="0"/>
    <x v="2"/>
  </r>
  <r>
    <x v="12"/>
    <d v="2026-04-27T00:00:00"/>
    <s v="Distribuidora Tica"/>
    <x v="4"/>
    <x v="2"/>
    <n v="450"/>
    <n v="12.5"/>
    <n v="8.6999999999999993"/>
    <s v="Embarcado"/>
    <n v="5625"/>
    <n v="3914.9999999999995"/>
    <n v="1710.0000000000005"/>
    <n v="0.3040000000000001"/>
    <s v="Mediano"/>
    <s v="Estratégico"/>
    <x v="0"/>
    <x v="0"/>
  </r>
  <r>
    <x v="13"/>
    <d v="2026-05-05T00:00:00"/>
    <s v="Iberia Foods"/>
    <x v="0"/>
    <x v="3"/>
    <n v="1000"/>
    <n v="4.8"/>
    <n v="3.2"/>
    <s v="Entregado"/>
    <n v="4800"/>
    <n v="3200"/>
    <n v="1600"/>
    <n v="0.33333333333333331"/>
    <s v="Pequeno"/>
    <s v="Potencial"/>
    <x v="1"/>
    <x v="0"/>
  </r>
  <r>
    <x v="14"/>
    <d v="2026-05-14T00:00:00"/>
    <s v="Comercial Azteca"/>
    <x v="1"/>
    <x v="4"/>
    <n v="850"/>
    <n v="6.5"/>
    <n v="4.0999999999999996"/>
    <s v="Embarcado"/>
    <n v="5525"/>
    <n v="3484.9999999999995"/>
    <n v="2040.0000000000005"/>
    <n v="0.36923076923076931"/>
    <s v="Mediano"/>
    <s v="Potencial"/>
    <x v="1"/>
    <x v="1"/>
  </r>
  <r>
    <x v="15"/>
    <d v="2026-05-22T00:00:00"/>
    <s v="Global Foods"/>
    <x v="3"/>
    <x v="1"/>
    <n v="1250"/>
    <n v="7.1"/>
    <n v="4.8"/>
    <s v="Entregado"/>
    <n v="8875"/>
    <n v="6000"/>
    <n v="2875"/>
    <n v="0.323943661971831"/>
    <s v="Mediano"/>
    <s v="Estratégico"/>
    <x v="0"/>
    <x v="0"/>
  </r>
  <r>
    <x v="16"/>
    <d v="2026-05-30T00:00:00"/>
    <s v="Comercial Maya"/>
    <x v="4"/>
    <x v="0"/>
    <n v="550"/>
    <n v="12.5"/>
    <n v="8.6999999999999993"/>
    <s v="Embarcado"/>
    <n v="6875"/>
    <n v="4785"/>
    <n v="2090"/>
    <n v="0.30399999999999999"/>
    <s v="Mediano"/>
    <s v="Estratégico"/>
    <x v="0"/>
    <x v="0"/>
  </r>
  <r>
    <x v="17"/>
    <d v="2026-06-07T00:00:00"/>
    <s v="Distribuidora Tica"/>
    <x v="0"/>
    <x v="2"/>
    <n v="800"/>
    <n v="4.8"/>
    <n v="3.2"/>
    <s v="Entregado"/>
    <n v="3840"/>
    <n v="2560"/>
    <n v="1280"/>
    <n v="0.33333333333333331"/>
    <s v="Pequeno"/>
    <s v="Estratégico"/>
    <x v="0"/>
    <x v="0"/>
  </r>
  <r>
    <x v="18"/>
    <d v="2026-06-16T00:00:00"/>
    <s v="Iberia Foods"/>
    <x v="2"/>
    <x v="3"/>
    <n v="900"/>
    <n v="8.1999999999999993"/>
    <n v="5.9"/>
    <s v="Pendiente"/>
    <n v="7379.9999999999991"/>
    <n v="5310"/>
    <n v="2069.9999999999991"/>
    <n v="0.2804878048780487"/>
    <s v="Mediano"/>
    <s v="Potencial"/>
    <x v="2"/>
    <x v="0"/>
  </r>
  <r>
    <x v="19"/>
    <d v="2026-06-25T00:00:00"/>
    <s v="Comercial Azteca"/>
    <x v="4"/>
    <x v="4"/>
    <n v="650"/>
    <n v="12.5"/>
    <n v="8.6999999999999993"/>
    <s v="Entregado"/>
    <n v="8125"/>
    <n v="5654.9999999999991"/>
    <n v="2470.0000000000009"/>
    <n v="0.3040000000000001"/>
    <s v="Mediano"/>
    <s v="Potencial"/>
    <x v="1"/>
    <x v="0"/>
  </r>
  <r>
    <x v="20"/>
    <d v="2026-07-03T00:00:00"/>
    <s v="Global Foods"/>
    <x v="1"/>
    <x v="1"/>
    <n v="1500"/>
    <n v="6.5"/>
    <n v="4.0999999999999996"/>
    <s v="Embarcado"/>
    <n v="9750"/>
    <n v="6149.9999999999991"/>
    <n v="3600.0000000000009"/>
    <n v="0.36923076923076931"/>
    <s v="Mediano"/>
    <s v="Estratégico"/>
    <x v="0"/>
    <x v="1"/>
  </r>
  <r>
    <x v="21"/>
    <d v="2026-07-11T00:00:00"/>
    <s v="Comercial Maya"/>
    <x v="3"/>
    <x v="0"/>
    <n v="1000"/>
    <n v="7.1"/>
    <n v="4.8"/>
    <s v="Entregado"/>
    <n v="7100"/>
    <n v="4800"/>
    <n v="2300"/>
    <n v="0.323943661971831"/>
    <s v="Mediano"/>
    <s v="Estratégico"/>
    <x v="0"/>
    <x v="0"/>
  </r>
  <r>
    <x v="22"/>
    <d v="2026-07-19T00:00:00"/>
    <s v="Distribuidora Tica"/>
    <x v="2"/>
    <x v="2"/>
    <n v="720"/>
    <n v="8.1999999999999993"/>
    <n v="5.9"/>
    <s v="Embarcado"/>
    <n v="5903.9999999999991"/>
    <n v="4248"/>
    <n v="1655.9999999999991"/>
    <n v="0.2804878048780487"/>
    <s v="Mediano"/>
    <s v="Estratégico"/>
    <x v="1"/>
    <x v="0"/>
  </r>
  <r>
    <x v="23"/>
    <d v="2026-07-28T00:00:00"/>
    <s v="Iberia Foods"/>
    <x v="0"/>
    <x v="3"/>
    <n v="1150"/>
    <n v="4.8"/>
    <n v="3.2"/>
    <s v="Entregado"/>
    <n v="5520"/>
    <n v="3680"/>
    <n v="1840"/>
    <n v="0.33333333333333331"/>
    <s v="Mediano"/>
    <s v="Potencial"/>
    <x v="1"/>
    <x v="0"/>
  </r>
  <r>
    <x v="24"/>
    <d v="2026-08-05T00:00:00"/>
    <s v="Comercial Azteca"/>
    <x v="1"/>
    <x v="4"/>
    <n v="950"/>
    <n v="6.5"/>
    <n v="4.0999999999999996"/>
    <s v="Pendiente"/>
    <n v="6175"/>
    <n v="3894.9999999999995"/>
    <n v="2280.0000000000005"/>
    <n v="0.36923076923076931"/>
    <s v="Mediano"/>
    <s v="Potencial"/>
    <x v="1"/>
    <x v="1"/>
  </r>
  <r>
    <x v="25"/>
    <d v="2026-08-13T00:00:00"/>
    <s v="Global Foods"/>
    <x v="4"/>
    <x v="1"/>
    <n v="700"/>
    <n v="12.5"/>
    <n v="8.6999999999999993"/>
    <s v="Entregado"/>
    <n v="8750"/>
    <n v="6089.9999999999991"/>
    <n v="2660.0000000000009"/>
    <n v="0.3040000000000001"/>
    <s v="Mediano"/>
    <s v="Estratégico"/>
    <x v="0"/>
    <x v="0"/>
  </r>
  <r>
    <x v="26"/>
    <d v="2026-08-21T00:00:00"/>
    <s v="Comercial Maya"/>
    <x v="0"/>
    <x v="0"/>
    <n v="1050"/>
    <n v="4.8"/>
    <n v="3.2"/>
    <s v="Embarcado"/>
    <n v="5040"/>
    <n v="3360"/>
    <n v="1680"/>
    <n v="0.33333333333333331"/>
    <s v="Mediano"/>
    <s v="Estratégico"/>
    <x v="0"/>
    <x v="0"/>
  </r>
  <r>
    <x v="27"/>
    <d v="2026-08-29T00:00:00"/>
    <s v="Distribuidora Tica"/>
    <x v="3"/>
    <x v="2"/>
    <n v="850"/>
    <n v="7.1"/>
    <n v="4.8"/>
    <s v="Entregado"/>
    <n v="6035"/>
    <n v="4080"/>
    <n v="1955"/>
    <n v="0.323943661971831"/>
    <s v="Mediano"/>
    <s v="Estratégico"/>
    <x v="0"/>
    <x v="0"/>
  </r>
  <r>
    <x v="28"/>
    <d v="2026-09-04T00:00:00"/>
    <s v="Iberia Foods"/>
    <x v="1"/>
    <x v="3"/>
    <n v="1200"/>
    <n v="6.5"/>
    <n v="4.0999999999999996"/>
    <s v="Embarcado"/>
    <n v="7800"/>
    <n v="4920"/>
    <n v="2880"/>
    <n v="0.36923076923076925"/>
    <s v="Mediano"/>
    <s v="Potencial"/>
    <x v="1"/>
    <x v="3"/>
  </r>
  <r>
    <x v="29"/>
    <d v="2026-09-12T00:00:00"/>
    <s v="Comercial Azteca"/>
    <x v="2"/>
    <x v="4"/>
    <n v="600"/>
    <n v="8.1999999999999993"/>
    <n v="5.9"/>
    <s v="Entregado"/>
    <n v="4920"/>
    <n v="3540"/>
    <n v="1380"/>
    <n v="0.28048780487804881"/>
    <s v="Pequeno"/>
    <s v="Potencial"/>
    <x v="2"/>
    <x v="0"/>
  </r>
  <r>
    <x v="30"/>
    <d v="2026-09-20T00:00:00"/>
    <s v="Global Foods"/>
    <x v="0"/>
    <x v="1"/>
    <n v="1350"/>
    <n v="4.8"/>
    <n v="3.2"/>
    <s v="Entregado"/>
    <n v="6480"/>
    <n v="4320"/>
    <n v="2160"/>
    <n v="0.33333333333333331"/>
    <s v="Mediano"/>
    <s v="Estratégico"/>
    <x v="0"/>
    <x v="0"/>
  </r>
  <r>
    <x v="31"/>
    <d v="2026-09-28T00:00:00"/>
    <s v="Comercial Maya"/>
    <x v="4"/>
    <x v="0"/>
    <n v="500"/>
    <n v="12.5"/>
    <n v="8.6999999999999993"/>
    <s v="Pendiente"/>
    <n v="6250"/>
    <n v="4350"/>
    <n v="1900"/>
    <n v="0.30399999999999999"/>
    <s v="Mediano"/>
    <s v="Estratégico"/>
    <x v="0"/>
    <x v="0"/>
  </r>
  <r>
    <x v="32"/>
    <d v="2026-10-06T00:00:00"/>
    <s v="Distribuidora Tica"/>
    <x v="1"/>
    <x v="2"/>
    <n v="950"/>
    <n v="6.5"/>
    <n v="4.0999999999999996"/>
    <s v="Embarcado"/>
    <n v="6175"/>
    <n v="3894.9999999999995"/>
    <n v="2280.0000000000005"/>
    <n v="0.36923076923076931"/>
    <s v="Mediano"/>
    <s v="Estratégico"/>
    <x v="0"/>
    <x v="2"/>
  </r>
  <r>
    <x v="33"/>
    <d v="2026-10-14T00:00:00"/>
    <s v="Iberia Foods"/>
    <x v="3"/>
    <x v="3"/>
    <n v="1050"/>
    <n v="7.1"/>
    <n v="4.8"/>
    <s v="Entregado"/>
    <n v="7455"/>
    <n v="5040"/>
    <n v="2415"/>
    <n v="0.323943661971831"/>
    <s v="Mediano"/>
    <s v="Potencial"/>
    <x v="1"/>
    <x v="0"/>
  </r>
  <r>
    <x v="34"/>
    <d v="2026-10-22T00:00:00"/>
    <s v="Comercial Azteca"/>
    <x v="0"/>
    <x v="4"/>
    <n v="750"/>
    <n v="4.8"/>
    <n v="3.2"/>
    <s v="Embarcado"/>
    <n v="3600"/>
    <n v="2400"/>
    <n v="1200"/>
    <n v="0.33333333333333331"/>
    <s v="Pequeno"/>
    <s v="Potencial"/>
    <x v="1"/>
    <x v="0"/>
  </r>
  <r>
    <x v="35"/>
    <d v="2026-10-30T00:00:00"/>
    <s v="Global Foods"/>
    <x v="2"/>
    <x v="1"/>
    <n v="900"/>
    <n v="8.1999999999999993"/>
    <n v="5.9"/>
    <s v="Entregado"/>
    <n v="7379.9999999999991"/>
    <n v="5310"/>
    <n v="2069.9999999999991"/>
    <n v="0.2804878048780487"/>
    <s v="Mediano"/>
    <s v="Estratégico"/>
    <x v="1"/>
    <x v="0"/>
  </r>
  <r>
    <x v="36"/>
    <d v="2026-11-07T00:00:00"/>
    <s v="Comercial Maya"/>
    <x v="1"/>
    <x v="0"/>
    <n v="1150"/>
    <n v="6.5"/>
    <n v="4.0999999999999996"/>
    <s v="Entregado"/>
    <n v="7475"/>
    <n v="4715"/>
    <n v="2760"/>
    <n v="0.36923076923076925"/>
    <s v="Mediano"/>
    <s v="Estratégico"/>
    <x v="0"/>
    <x v="2"/>
  </r>
  <r>
    <x v="37"/>
    <d v="2026-11-15T00:00:00"/>
    <s v="Distribuidora Tica"/>
    <x v="4"/>
    <x v="2"/>
    <n v="580"/>
    <n v="12.5"/>
    <n v="8.6999999999999993"/>
    <s v="Embarcado"/>
    <n v="7250"/>
    <n v="5046"/>
    <n v="2204"/>
    <n v="0.30399999999999999"/>
    <s v="Mediano"/>
    <s v="Estratégico"/>
    <x v="0"/>
    <x v="0"/>
  </r>
  <r>
    <x v="38"/>
    <d v="2026-11-23T00:00:00"/>
    <s v="Iberia Foods"/>
    <x v="0"/>
    <x v="3"/>
    <n v="1300"/>
    <n v="4.8"/>
    <n v="3.2"/>
    <s v="Pendiente"/>
    <n v="6240"/>
    <n v="4160"/>
    <n v="2080"/>
    <n v="0.33333333333333331"/>
    <s v="Mediano"/>
    <s v="Potencial"/>
    <x v="1"/>
    <x v="0"/>
  </r>
  <r>
    <x v="39"/>
    <d v="2026-12-01T00:00:00"/>
    <s v="Comercial Azteca"/>
    <x v="3"/>
    <x v="4"/>
    <n v="900"/>
    <n v="7.1"/>
    <n v="4.8"/>
    <s v="Entregado"/>
    <n v="6390"/>
    <n v="4320"/>
    <n v="2070"/>
    <n v="0.323943661971831"/>
    <s v="Mediano"/>
    <s v="Potencial"/>
    <x v="1"/>
    <x v="0"/>
  </r>
  <r>
    <x v="40"/>
    <d v="2026-12-08T00:00:00"/>
    <s v="Global Foods"/>
    <x v="1"/>
    <x v="1"/>
    <n v="1400"/>
    <n v="6.5"/>
    <n v="4.0999999999999996"/>
    <s v="Embarcado"/>
    <n v="9100"/>
    <n v="5739.9999999999991"/>
    <n v="3360.0000000000009"/>
    <n v="0.36923076923076931"/>
    <s v="Mediano"/>
    <s v="Estratégico"/>
    <x v="0"/>
    <x v="1"/>
  </r>
  <r>
    <x v="41"/>
    <d v="2026-12-15T00:00:00"/>
    <s v="Comercial Maya"/>
    <x v="2"/>
    <x v="0"/>
    <n v="800"/>
    <n v="8.1999999999999993"/>
    <n v="5.9"/>
    <s v="Entregado"/>
    <n v="6559.9999999999991"/>
    <n v="4720"/>
    <n v="1839.9999999999991"/>
    <n v="0.2804878048780487"/>
    <s v="Mediano"/>
    <s v="Estratégico"/>
    <x v="1"/>
    <x v="0"/>
  </r>
  <r>
    <x v="42"/>
    <d v="2026-12-22T00:00:00"/>
    <s v="Distribuidora Tica"/>
    <x v="0"/>
    <x v="2"/>
    <n v="1000"/>
    <n v="4.8"/>
    <n v="3.2"/>
    <s v="Entregado"/>
    <n v="4800"/>
    <n v="3200"/>
    <n v="1600"/>
    <n v="0.33333333333333331"/>
    <s v="Pequeno"/>
    <s v="Estratégico"/>
    <x v="0"/>
    <x v="0"/>
  </r>
  <r>
    <x v="43"/>
    <d v="2026-12-28T00:00:00"/>
    <s v="Iberia Foods"/>
    <x v="4"/>
    <x v="3"/>
    <n v="650"/>
    <n v="12.5"/>
    <n v="8.6999999999999993"/>
    <s v="Embarcado"/>
    <n v="8125"/>
    <n v="5654.9999999999991"/>
    <n v="2470.0000000000009"/>
    <n v="0.3040000000000001"/>
    <s v="Mediano"/>
    <s v="Potencial"/>
    <x v="1"/>
    <x v="0"/>
  </r>
  <r>
    <x v="44"/>
    <d v="2026-01-04T00:00:00"/>
    <s v="Comercial Azteca"/>
    <x v="1"/>
    <x v="4"/>
    <n v="780"/>
    <n v="6.5"/>
    <n v="4.0999999999999996"/>
    <s v="Entregado"/>
    <n v="5070"/>
    <n v="3197.9999999999995"/>
    <n v="1872.0000000000005"/>
    <n v="0.36923076923076931"/>
    <s v="Mediano"/>
    <s v="Potencial"/>
    <x v="1"/>
    <x v="1"/>
  </r>
  <r>
    <x v="45"/>
    <d v="2026-01-11T00:00:00"/>
    <s v="Global Foods"/>
    <x v="3"/>
    <x v="1"/>
    <n v="1180"/>
    <n v="7.1"/>
    <n v="4.8"/>
    <s v="Pendiente"/>
    <n v="8378"/>
    <n v="5664"/>
    <n v="2714"/>
    <n v="0.323943661971831"/>
    <s v="Mediano"/>
    <s v="Estratégico"/>
    <x v="0"/>
    <x v="0"/>
  </r>
  <r>
    <x v="46"/>
    <d v="2026-01-18T00:00:00"/>
    <s v="Comercial Maya"/>
    <x v="0"/>
    <x v="0"/>
    <n v="920"/>
    <n v="4.8"/>
    <n v="3.2"/>
    <s v="Embarcado"/>
    <n v="4416"/>
    <n v="2944"/>
    <n v="1472"/>
    <n v="0.33333333333333331"/>
    <s v="Pequeno"/>
    <s v="Estratégico"/>
    <x v="0"/>
    <x v="0"/>
  </r>
  <r>
    <x v="47"/>
    <d v="2026-01-26T00:00:00"/>
    <s v="Distribuidora Tica"/>
    <x v="2"/>
    <x v="2"/>
    <n v="680"/>
    <n v="8.1999999999999993"/>
    <n v="5.9"/>
    <s v="Entregado"/>
    <n v="5575.9999999999991"/>
    <n v="4012.0000000000005"/>
    <n v="1563.9999999999986"/>
    <n v="0.28048780487804859"/>
    <s v="Mediano"/>
    <s v="Estratégico"/>
    <x v="1"/>
    <x v="0"/>
  </r>
  <r>
    <x v="48"/>
    <d v="2026-02-04T00:00:00"/>
    <s v="Iberia Foods"/>
    <x v="1"/>
    <x v="3"/>
    <n v="1080"/>
    <n v="6.5"/>
    <n v="4.0999999999999996"/>
    <s v="Embarcado"/>
    <n v="7020"/>
    <n v="4428"/>
    <n v="2592"/>
    <n v="0.36923076923076925"/>
    <s v="Mediano"/>
    <s v="Potencial"/>
    <x v="1"/>
    <x v="3"/>
  </r>
  <r>
    <x v="49"/>
    <d v="2026-02-12T00:00:00"/>
    <s v="Comercial Azteca"/>
    <x v="4"/>
    <x v="4"/>
    <n v="520"/>
    <n v="12.5"/>
    <n v="8.6999999999999993"/>
    <s v="Entregado"/>
    <n v="6500"/>
    <n v="4524"/>
    <n v="1976"/>
    <n v="0.30399999999999999"/>
    <s v="Mediano"/>
    <s v="Potencial"/>
    <x v="1"/>
    <x v="0"/>
  </r>
  <r>
    <x v="50"/>
    <d v="2026-02-21T00:00:00"/>
    <s v="Global Foods"/>
    <x v="0"/>
    <x v="1"/>
    <n v="1450"/>
    <n v="4.8"/>
    <n v="3.2"/>
    <s v="Entregado"/>
    <n v="6960"/>
    <n v="4640"/>
    <n v="2320"/>
    <n v="0.33333333333333331"/>
    <s v="Mediano"/>
    <s v="Estratégico"/>
    <x v="0"/>
    <x v="0"/>
  </r>
  <r>
    <x v="51"/>
    <d v="2026-03-01T00:00:00"/>
    <s v="Comercial Maya"/>
    <x v="3"/>
    <x v="0"/>
    <n v="880"/>
    <n v="7.1"/>
    <n v="4.8"/>
    <s v="Pendiente"/>
    <n v="6248"/>
    <n v="4224"/>
    <n v="2024"/>
    <n v="0.323943661971831"/>
    <s v="Mediano"/>
    <s v="Estratégico"/>
    <x v="0"/>
    <x v="0"/>
  </r>
  <r>
    <x v="52"/>
    <d v="2026-03-10T00:00:00"/>
    <s v="Distribuidora Tica"/>
    <x v="1"/>
    <x v="2"/>
    <n v="970"/>
    <n v="6.5"/>
    <n v="4.0999999999999996"/>
    <s v="Embarcado"/>
    <n v="6305"/>
    <n v="3976.9999999999995"/>
    <n v="2328.0000000000005"/>
    <n v="0.36923076923076931"/>
    <s v="Mediano"/>
    <s v="Estratégico"/>
    <x v="0"/>
    <x v="2"/>
  </r>
  <r>
    <x v="53"/>
    <d v="2026-03-19T00:00:00"/>
    <s v="Iberia Foods"/>
    <x v="2"/>
    <x v="3"/>
    <n v="760"/>
    <n v="8.1999999999999993"/>
    <n v="5.9"/>
    <s v="Entregado"/>
    <n v="6231.9999999999991"/>
    <n v="4484"/>
    <n v="1747.9999999999991"/>
    <n v="0.2804878048780487"/>
    <s v="Mediano"/>
    <s v="Potencial"/>
    <x v="2"/>
    <x v="0"/>
  </r>
  <r>
    <x v="54"/>
    <d v="2026-03-28T00:00:00"/>
    <s v="Comercial Azteca"/>
    <x v="0"/>
    <x v="4"/>
    <n v="620"/>
    <n v="4.8"/>
    <n v="3.2"/>
    <s v="Embarcado"/>
    <n v="2976"/>
    <n v="1984"/>
    <n v="992"/>
    <n v="0.33333333333333331"/>
    <s v="Pequeno"/>
    <s v="Potencial"/>
    <x v="1"/>
    <x v="0"/>
  </r>
  <r>
    <x v="55"/>
    <d v="2026-04-06T00:00:00"/>
    <s v="Global Foods"/>
    <x v="4"/>
    <x v="1"/>
    <n v="820"/>
    <n v="12.5"/>
    <n v="8.6999999999999993"/>
    <s v="Entregado"/>
    <n v="10250"/>
    <n v="7133.9999999999991"/>
    <n v="3116.0000000000009"/>
    <n v="0.3040000000000001"/>
    <s v="Grande"/>
    <s v="Estratégico"/>
    <x v="0"/>
    <x v="0"/>
  </r>
  <r>
    <x v="56"/>
    <d v="2026-04-15T00:00:00"/>
    <s v="Comercial Maya"/>
    <x v="1"/>
    <x v="0"/>
    <n v="1250"/>
    <n v="6.5"/>
    <n v="4.0999999999999996"/>
    <s v="Entregado"/>
    <n v="8125"/>
    <n v="5125"/>
    <n v="3000"/>
    <n v="0.36923076923076925"/>
    <s v="Mediano"/>
    <s v="Estratégico"/>
    <x v="0"/>
    <x v="2"/>
  </r>
  <r>
    <x v="57"/>
    <d v="2026-04-24T00:00:00"/>
    <s v="Distribuidora Tica"/>
    <x v="3"/>
    <x v="2"/>
    <n v="790"/>
    <n v="7.1"/>
    <n v="4.8"/>
    <s v="Embarcado"/>
    <n v="5609"/>
    <n v="3792"/>
    <n v="1817"/>
    <n v="0.323943661971831"/>
    <s v="Mediano"/>
    <s v="Estratégico"/>
    <x v="0"/>
    <x v="0"/>
  </r>
  <r>
    <x v="58"/>
    <d v="2026-05-03T00:00:00"/>
    <s v="Iberia Foods"/>
    <x v="0"/>
    <x v="3"/>
    <n v="980"/>
    <n v="4.8"/>
    <n v="3.2"/>
    <s v="Pendiente"/>
    <n v="4704"/>
    <n v="3136"/>
    <n v="1568"/>
    <n v="0.33333333333333331"/>
    <s v="Pequeno"/>
    <s v="Potencial"/>
    <x v="1"/>
    <x v="0"/>
  </r>
  <r>
    <x v="59"/>
    <d v="2026-05-12T00:00:00"/>
    <s v="Comercial Azteca"/>
    <x v="2"/>
    <x v="4"/>
    <n v="730"/>
    <n v="8.1999999999999993"/>
    <n v="5.9"/>
    <s v="Entregado"/>
    <n v="5985.9999999999991"/>
    <n v="4307"/>
    <n v="1678.9999999999991"/>
    <n v="0.2804878048780487"/>
    <s v="Mediano"/>
    <s v="Potencial"/>
    <x v="2"/>
    <x v="0"/>
  </r>
  <r>
    <x v="60"/>
    <d v="2026-05-21T00:00:00"/>
    <s v="Global Foods"/>
    <x v="1"/>
    <x v="1"/>
    <n v="1320"/>
    <n v="6.5"/>
    <n v="4.0999999999999996"/>
    <s v="Embarcado"/>
    <n v="8580"/>
    <n v="5411.9999999999991"/>
    <n v="3168.0000000000009"/>
    <n v="0.36923076923076936"/>
    <s v="Mediano"/>
    <s v="Estratégico"/>
    <x v="0"/>
    <x v="1"/>
  </r>
  <r>
    <x v="61"/>
    <d v="2026-05-30T00:00:00"/>
    <s v="Comercial Maya"/>
    <x v="4"/>
    <x v="0"/>
    <n v="470"/>
    <n v="12.5"/>
    <n v="8.6999999999999993"/>
    <s v="Entregado"/>
    <n v="5875"/>
    <n v="4088.9999999999995"/>
    <n v="1786.0000000000005"/>
    <n v="0.3040000000000001"/>
    <s v="Mediano"/>
    <s v="Estratégico"/>
    <x v="0"/>
    <x v="0"/>
  </r>
  <r>
    <x v="62"/>
    <d v="2026-06-08T00:00:00"/>
    <s v="Distribuidora Tica"/>
    <x v="0"/>
    <x v="2"/>
    <n v="860"/>
    <n v="4.8"/>
    <n v="3.2"/>
    <s v="Entregado"/>
    <n v="4128"/>
    <n v="2752"/>
    <n v="1376"/>
    <n v="0.33333333333333331"/>
    <s v="Pequeno"/>
    <s v="Estratégico"/>
    <x v="0"/>
    <x v="0"/>
  </r>
  <r>
    <x v="63"/>
    <d v="2026-06-17T00:00:00"/>
    <s v="Iberia Foods"/>
    <x v="3"/>
    <x v="3"/>
    <n v="1040"/>
    <n v="7.1"/>
    <n v="4.8"/>
    <s v="Embarcado"/>
    <n v="7384"/>
    <n v="4992"/>
    <n v="2392"/>
    <n v="0.323943661971831"/>
    <s v="Mediano"/>
    <s v="Potencial"/>
    <x v="1"/>
    <x v="0"/>
  </r>
  <r>
    <x v="64"/>
    <d v="2026-06-26T00:00:00"/>
    <s v="Comercial Azteca"/>
    <x v="1"/>
    <x v="4"/>
    <n v="890"/>
    <n v="6.5"/>
    <n v="4.0999999999999996"/>
    <s v="Pendiente"/>
    <n v="5785"/>
    <n v="3648.9999999999995"/>
    <n v="2136.0000000000005"/>
    <n v="0.36923076923076931"/>
    <s v="Mediano"/>
    <s v="Potencial"/>
    <x v="1"/>
    <x v="1"/>
  </r>
  <r>
    <x v="65"/>
    <d v="2026-07-05T00:00:00"/>
    <s v="Global Foods"/>
    <x v="2"/>
    <x v="1"/>
    <n v="1170"/>
    <n v="8.1999999999999993"/>
    <n v="5.9"/>
    <s v="Entregado"/>
    <n v="9594"/>
    <n v="6903"/>
    <n v="2691"/>
    <n v="0.28048780487804881"/>
    <s v="Mediano"/>
    <s v="Estratégico"/>
    <x v="1"/>
    <x v="0"/>
  </r>
  <r>
    <x v="66"/>
    <d v="2026-07-14T00:00:00"/>
    <s v="Comercial Maya"/>
    <x v="0"/>
    <x v="0"/>
    <n v="760"/>
    <n v="4.8"/>
    <n v="3.2"/>
    <s v="Embarcado"/>
    <n v="3648"/>
    <n v="2432"/>
    <n v="1216"/>
    <n v="0.33333333333333331"/>
    <s v="Pequeno"/>
    <s v="Estratégico"/>
    <x v="0"/>
    <x v="0"/>
  </r>
  <r>
    <x v="67"/>
    <d v="2026-07-23T00:00:00"/>
    <s v="Distribuidora Tica"/>
    <x v="4"/>
    <x v="2"/>
    <n v="540"/>
    <n v="12.5"/>
    <n v="8.6999999999999993"/>
    <s v="Entregado"/>
    <n v="6750"/>
    <n v="4698"/>
    <n v="2052"/>
    <n v="0.30399999999999999"/>
    <s v="Mediano"/>
    <s v="Estratégico"/>
    <x v="0"/>
    <x v="0"/>
  </r>
  <r>
    <x v="68"/>
    <d v="2026-08-01T00:00:00"/>
    <s v="Iberia Foods"/>
    <x v="1"/>
    <x v="3"/>
    <n v="1280"/>
    <n v="6.5"/>
    <n v="4.0999999999999996"/>
    <s v="Embarcado"/>
    <n v="8320"/>
    <n v="5248"/>
    <n v="3072"/>
    <n v="0.36923076923076925"/>
    <s v="Mediano"/>
    <s v="Potencial"/>
    <x v="1"/>
    <x v="3"/>
  </r>
  <r>
    <x v="69"/>
    <d v="2026-08-10T00:00:00"/>
    <s v="Comercial Azteca"/>
    <x v="3"/>
    <x v="4"/>
    <n v="930"/>
    <n v="7.1"/>
    <n v="4.8"/>
    <s v="Entregado"/>
    <n v="6603"/>
    <n v="4464"/>
    <n v="2139"/>
    <n v="0.323943661971831"/>
    <s v="Mediano"/>
    <s v="Potencial"/>
    <x v="1"/>
    <x v="0"/>
  </r>
  <r>
    <x v="70"/>
    <d v="2026-08-19T00:00:00"/>
    <s v="Global Foods"/>
    <x v="0"/>
    <x v="1"/>
    <n v="1550"/>
    <n v="4.8"/>
    <n v="3.2"/>
    <s v="Entregado"/>
    <n v="7440"/>
    <n v="4960"/>
    <n v="2480"/>
    <n v="0.33333333333333331"/>
    <s v="Mediano"/>
    <s v="Estratégico"/>
    <x v="0"/>
    <x v="0"/>
  </r>
  <r>
    <x v="71"/>
    <d v="2026-08-28T00:00:00"/>
    <s v="Comercial Maya"/>
    <x v="2"/>
    <x v="0"/>
    <n v="690"/>
    <n v="8.1999999999999993"/>
    <n v="5.9"/>
    <s v="Pendiente"/>
    <n v="5657.9999999999991"/>
    <n v="4071.0000000000005"/>
    <n v="1586.9999999999986"/>
    <n v="0.28048780487804859"/>
    <s v="Mediano"/>
    <s v="Estratégico"/>
    <x v="1"/>
    <x v="0"/>
  </r>
  <r>
    <x v="72"/>
    <d v="2026-09-06T00:00:00"/>
    <s v="Distribuidora Tica"/>
    <x v="1"/>
    <x v="2"/>
    <n v="1020"/>
    <n v="6.5"/>
    <n v="4.0999999999999996"/>
    <s v="Embarcado"/>
    <n v="6630"/>
    <n v="4182"/>
    <n v="2448"/>
    <n v="0.36923076923076925"/>
    <s v="Mediano"/>
    <s v="Estratégico"/>
    <x v="0"/>
    <x v="2"/>
  </r>
  <r>
    <x v="73"/>
    <d v="2026-09-15T00:00:00"/>
    <s v="Iberia Foods"/>
    <x v="4"/>
    <x v="3"/>
    <n v="610"/>
    <n v="12.5"/>
    <n v="8.6999999999999993"/>
    <s v="Entregado"/>
    <n v="7625"/>
    <n v="5307"/>
    <n v="2318"/>
    <n v="0.30399999999999999"/>
    <s v="Mediano"/>
    <s v="Potencial"/>
    <x v="1"/>
    <x v="0"/>
  </r>
  <r>
    <x v="74"/>
    <d v="2026-09-24T00:00:00"/>
    <s v="Comercial Azteca"/>
    <x v="0"/>
    <x v="4"/>
    <n v="840"/>
    <n v="4.8"/>
    <n v="3.2"/>
    <s v="Embarcado"/>
    <n v="4032"/>
    <n v="2688"/>
    <n v="1344"/>
    <n v="0.33333333333333331"/>
    <s v="Pequeno"/>
    <s v="Potencial"/>
    <x v="1"/>
    <x v="0"/>
  </r>
  <r>
    <x v="75"/>
    <d v="2026-10-03T00:00:00"/>
    <s v="Global Foods"/>
    <x v="3"/>
    <x v="1"/>
    <n v="1210"/>
    <n v="7.1"/>
    <n v="4.8"/>
    <s v="Entregado"/>
    <n v="8591"/>
    <n v="5808"/>
    <n v="2783"/>
    <n v="0.323943661971831"/>
    <s v="Mediano"/>
    <s v="Estratégico"/>
    <x v="0"/>
    <x v="0"/>
  </r>
  <r>
    <x v="76"/>
    <d v="2026-10-12T00:00:00"/>
    <s v="Comercial Maya"/>
    <x v="1"/>
    <x v="0"/>
    <n v="1080"/>
    <n v="6.5"/>
    <n v="4.0999999999999996"/>
    <s v="Entregado"/>
    <n v="7020"/>
    <n v="4428"/>
    <n v="2592"/>
    <n v="0.36923076923076925"/>
    <s v="Mediano"/>
    <s v="Estratégico"/>
    <x v="0"/>
    <x v="2"/>
  </r>
  <r>
    <x v="77"/>
    <d v="2026-10-21T00:00:00"/>
    <s v="Distribuidora Tica"/>
    <x v="2"/>
    <x v="2"/>
    <n v="720"/>
    <n v="8.1999999999999993"/>
    <n v="5.9"/>
    <s v="Embarcado"/>
    <n v="5903.9999999999991"/>
    <n v="4248"/>
    <n v="1655.9999999999991"/>
    <n v="0.2804878048780487"/>
    <s v="Mediano"/>
    <s v="Estratégico"/>
    <x v="1"/>
    <x v="0"/>
  </r>
  <r>
    <x v="78"/>
    <d v="2026-10-30T00:00:00"/>
    <s v="Iberia Foods"/>
    <x v="0"/>
    <x v="3"/>
    <n v="1160"/>
    <n v="4.8"/>
    <n v="3.2"/>
    <s v="Pendiente"/>
    <n v="5568"/>
    <n v="3712"/>
    <n v="1856"/>
    <n v="0.33333333333333331"/>
    <s v="Mediano"/>
    <s v="Potencial"/>
    <x v="1"/>
    <x v="0"/>
  </r>
  <r>
    <x v="79"/>
    <d v="2026-11-08T00:00:00"/>
    <s v="Comercial Azteca"/>
    <x v="4"/>
    <x v="4"/>
    <n v="560"/>
    <n v="12.5"/>
    <n v="8.6999999999999993"/>
    <s v="Entregado"/>
    <n v="7000"/>
    <n v="4872"/>
    <n v="2128"/>
    <n v="0.30399999999999999"/>
    <s v="Mediano"/>
    <s v="Potencial"/>
    <x v="1"/>
    <x v="0"/>
  </r>
  <r>
    <x v="80"/>
    <d v="2026-11-17T00:00:00"/>
    <s v="Global Foods"/>
    <x v="1"/>
    <x v="1"/>
    <n v="1380"/>
    <n v="6.5"/>
    <n v="4.0999999999999996"/>
    <s v="Embarcado"/>
    <n v="8970"/>
    <n v="5657.9999999999991"/>
    <n v="3312.0000000000009"/>
    <n v="0.36923076923076931"/>
    <s v="Mediano"/>
    <s v="Estratégico"/>
    <x v="0"/>
    <x v="1"/>
  </r>
  <r>
    <x v="81"/>
    <d v="2026-11-26T00:00:00"/>
    <s v="Comercial Maya"/>
    <x v="3"/>
    <x v="0"/>
    <n v="940"/>
    <n v="7.1"/>
    <n v="4.8"/>
    <s v="Entregado"/>
    <n v="6674"/>
    <n v="4512"/>
    <n v="2162"/>
    <n v="0.323943661971831"/>
    <s v="Mediano"/>
    <s v="Estratégico"/>
    <x v="0"/>
    <x v="0"/>
  </r>
  <r>
    <x v="82"/>
    <d v="2026-12-05T00:00:00"/>
    <s v="Distribuidora Tica"/>
    <x v="0"/>
    <x v="2"/>
    <n v="870"/>
    <n v="4.8"/>
    <n v="3.2"/>
    <s v="Embarcado"/>
    <n v="4176"/>
    <n v="2784"/>
    <n v="1392"/>
    <n v="0.33333333333333331"/>
    <s v="Pequeno"/>
    <s v="Estratégico"/>
    <x v="0"/>
    <x v="0"/>
  </r>
  <r>
    <x v="83"/>
    <d v="2026-12-14T00:00:00"/>
    <s v="Iberia Foods"/>
    <x v="2"/>
    <x v="3"/>
    <n v="810"/>
    <n v="8.1999999999999993"/>
    <n v="5.9"/>
    <s v="Entregado"/>
    <n v="6641.9999999999991"/>
    <n v="4779"/>
    <n v="1862.9999999999991"/>
    <n v="0.2804878048780487"/>
    <s v="Mediano"/>
    <s v="Potencial"/>
    <x v="2"/>
    <x v="0"/>
  </r>
  <r>
    <x v="84"/>
    <d v="2026-12-23T00:00:00"/>
    <s v="Comercial Azteca"/>
    <x v="1"/>
    <x v="4"/>
    <n v="990"/>
    <n v="6.5"/>
    <n v="4.0999999999999996"/>
    <s v="Pendiente"/>
    <n v="6435"/>
    <n v="4058.9999999999995"/>
    <n v="2376.0000000000005"/>
    <n v="0.36923076923076931"/>
    <s v="Mediano"/>
    <s v="Potencial"/>
    <x v="1"/>
    <x v="1"/>
  </r>
  <r>
    <x v="85"/>
    <d v="2026-12-30T00:00:00"/>
    <s v="Global Foods"/>
    <x v="4"/>
    <x v="1"/>
    <n v="730"/>
    <n v="12.5"/>
    <n v="8.6999999999999993"/>
    <s v="Entregado"/>
    <n v="9125"/>
    <n v="6350.9999999999991"/>
    <n v="2774.0000000000009"/>
    <n v="0.3040000000000001"/>
    <s v="Mediano"/>
    <s v="Estratégico"/>
    <x v="0"/>
    <x v="0"/>
  </r>
  <r>
    <x v="86"/>
    <d v="2026-01-07T00:00:00"/>
    <s v="Comercial Maya"/>
    <x v="2"/>
    <x v="0"/>
    <n v="780"/>
    <n v="8.1999999999999993"/>
    <n v="5.9"/>
    <s v="Embarcado"/>
    <n v="6395.9999999999991"/>
    <n v="4602"/>
    <n v="1793.9999999999991"/>
    <n v="0.2804878048780487"/>
    <s v="Mediano"/>
    <s v="Estratégico"/>
    <x v="1"/>
    <x v="0"/>
  </r>
  <r>
    <x v="87"/>
    <d v="2026-01-16T00:00:00"/>
    <s v="Distribuidora Tica"/>
    <x v="0"/>
    <x v="2"/>
    <n v="930"/>
    <n v="4.8"/>
    <n v="3.2"/>
    <s v="Entregado"/>
    <n v="4464"/>
    <n v="2976"/>
    <n v="1488"/>
    <n v="0.33333333333333331"/>
    <s v="Pequeno"/>
    <s v="Estratégico"/>
    <x v="0"/>
    <x v="0"/>
  </r>
  <r>
    <x v="88"/>
    <d v="2026-01-25T00:00:00"/>
    <s v="Iberia Foods"/>
    <x v="3"/>
    <x v="3"/>
    <n v="870"/>
    <n v="7.1"/>
    <n v="4.8"/>
    <s v="Pendiente"/>
    <n v="6177"/>
    <n v="4176"/>
    <n v="2001"/>
    <n v="0.323943661971831"/>
    <s v="Mediano"/>
    <s v="Potencial"/>
    <x v="1"/>
    <x v="0"/>
  </r>
  <r>
    <x v="89"/>
    <d v="2026-02-06T00:00:00"/>
    <s v="Comercial Azteca"/>
    <x v="4"/>
    <x v="4"/>
    <n v="480"/>
    <n v="12.5"/>
    <n v="8.6999999999999993"/>
    <s v="Embarcado"/>
    <n v="6000"/>
    <n v="4176"/>
    <n v="1824"/>
    <n v="0.30399999999999999"/>
    <s v="Mediano"/>
    <s v="Potencial"/>
    <x v="1"/>
    <x v="0"/>
  </r>
  <r>
    <x v="90"/>
    <d v="2026-02-15T00:00:00"/>
    <s v="Global Foods"/>
    <x v="1"/>
    <x v="1"/>
    <n v="1260"/>
    <n v="6.5"/>
    <n v="4.0999999999999996"/>
    <s v="Entregado"/>
    <n v="8190"/>
    <n v="5166"/>
    <n v="3024"/>
    <n v="0.36923076923076925"/>
    <s v="Mediano"/>
    <s v="Estratégico"/>
    <x v="0"/>
    <x v="1"/>
  </r>
  <r>
    <x v="91"/>
    <d v="2026-02-24T00:00:00"/>
    <s v="Comercial Maya"/>
    <x v="0"/>
    <x v="0"/>
    <n v="1100"/>
    <n v="4.8"/>
    <n v="3.2"/>
    <s v="Embarcado"/>
    <n v="5280"/>
    <n v="3520"/>
    <n v="1760"/>
    <n v="0.33333333333333331"/>
    <s v="Mediano"/>
    <s v="Estratégico"/>
    <x v="0"/>
    <x v="0"/>
  </r>
  <r>
    <x v="92"/>
    <d v="2026-03-05T00:00:00"/>
    <s v="Distribuidora Tica"/>
    <x v="4"/>
    <x v="2"/>
    <n v="570"/>
    <n v="12.5"/>
    <n v="8.6999999999999993"/>
    <s v="Entregado"/>
    <n v="7125"/>
    <n v="4959"/>
    <n v="2166"/>
    <n v="0.30399999999999999"/>
    <s v="Mediano"/>
    <s v="Estratégico"/>
    <x v="0"/>
    <x v="0"/>
  </r>
  <r>
    <x v="93"/>
    <d v="2026-03-14T00:00:00"/>
    <s v="Iberia Foods"/>
    <x v="2"/>
    <x v="3"/>
    <n v="880"/>
    <n v="8.1999999999999993"/>
    <n v="5.9"/>
    <s v="Embarcado"/>
    <n v="7215.9999999999991"/>
    <n v="5192"/>
    <n v="2023.9999999999991"/>
    <n v="0.2804878048780487"/>
    <s v="Mediano"/>
    <s v="Potencial"/>
    <x v="2"/>
    <x v="0"/>
  </r>
  <r>
    <x v="94"/>
    <d v="2026-03-23T00:00:00"/>
    <s v="Comercial Azteca"/>
    <x v="3"/>
    <x v="4"/>
    <n v="1060"/>
    <n v="7.1"/>
    <n v="4.8"/>
    <s v="Entregado"/>
    <n v="7526"/>
    <n v="5088"/>
    <n v="2438"/>
    <n v="0.323943661971831"/>
    <s v="Mediano"/>
    <s v="Potencial"/>
    <x v="1"/>
    <x v="0"/>
  </r>
  <r>
    <x v="95"/>
    <d v="2026-04-02T00:00:00"/>
    <s v="Global Foods"/>
    <x v="0"/>
    <x v="1"/>
    <n v="1490"/>
    <n v="4.8"/>
    <n v="3.2"/>
    <s v="Pendiente"/>
    <n v="7152"/>
    <n v="4768"/>
    <n v="2384"/>
    <n v="0.33333333333333331"/>
    <s v="Mediano"/>
    <s v="Estratégico"/>
    <x v="0"/>
    <x v="0"/>
  </r>
  <r>
    <x v="96"/>
    <d v="2026-04-11T00:00:00"/>
    <s v="Comercial Maya"/>
    <x v="1"/>
    <x v="0"/>
    <n v="910"/>
    <n v="6.5"/>
    <n v="4.0999999999999996"/>
    <s v="Embarcado"/>
    <n v="5915"/>
    <n v="3730.9999999999995"/>
    <n v="2184.0000000000005"/>
    <n v="0.36923076923076931"/>
    <s v="Mediano"/>
    <s v="Estratégico"/>
    <x v="0"/>
    <x v="2"/>
  </r>
  <r>
    <x v="97"/>
    <d v="2026-04-20T00:00:00"/>
    <s v="Distribuidora Tica"/>
    <x v="2"/>
    <x v="2"/>
    <n v="740"/>
    <n v="8.1999999999999993"/>
    <n v="5.9"/>
    <s v="Entregado"/>
    <n v="6067.9999999999991"/>
    <n v="4366"/>
    <n v="1701.9999999999991"/>
    <n v="0.2804878048780487"/>
    <s v="Mediano"/>
    <s v="Estratégico"/>
    <x v="1"/>
    <x v="0"/>
  </r>
  <r>
    <x v="98"/>
    <d v="2026-04-29T00:00:00"/>
    <s v="Iberia Foods"/>
    <x v="4"/>
    <x v="3"/>
    <n v="630"/>
    <n v="12.5"/>
    <n v="8.6999999999999993"/>
    <s v="Embarcado"/>
    <n v="7875"/>
    <n v="5481"/>
    <n v="2394"/>
    <n v="0.30399999999999999"/>
    <s v="Mediano"/>
    <s v="Potencial"/>
    <x v="1"/>
    <x v="0"/>
  </r>
  <r>
    <x v="99"/>
    <d v="2026-05-08T00:00:00"/>
    <s v="Comercial Azteca"/>
    <x v="1"/>
    <x v="4"/>
    <n v="1170"/>
    <n v="6.5"/>
    <n v="4.0999999999999996"/>
    <s v="Entregado"/>
    <n v="7605"/>
    <n v="4797"/>
    <n v="2808"/>
    <n v="0.36923076923076925"/>
    <s v="Mediano"/>
    <s v="Potencial"/>
    <x v="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75C876E-EC87-4F20-9959-5A1A77F836ED}" name="TablaDinámica7" cacheId="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A57:B61" firstHeaderRow="1" firstDataRow="1" firstDataCol="1"/>
  <pivotFields count="17">
    <pivotField dataField="1"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4">
        <item x="0"/>
        <item x="2"/>
        <item x="1"/>
        <item t="default"/>
      </items>
    </pivotField>
    <pivotField showAll="0"/>
  </pivotFields>
  <rowFields count="1">
    <field x="15"/>
  </rowFields>
  <rowItems count="4">
    <i>
      <x/>
    </i>
    <i>
      <x v="1"/>
    </i>
    <i>
      <x v="2"/>
    </i>
    <i t="grand">
      <x/>
    </i>
  </rowItems>
  <colItems count="1">
    <i/>
  </colItems>
  <dataFields count="1">
    <dataField name="Cuenta de ID_Operación"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DAE0EBD-2CA3-4A2C-BF2B-8C8A877DED94}" name="TablaDinámica6" cacheId="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6">
  <location ref="A39:B43" firstHeaderRow="1" firstDataRow="1" firstDataCol="1"/>
  <pivotFields count="17">
    <pivotField showAll="0"/>
    <pivotField numFmtId="14"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axis="axisRow" showAll="0">
      <items count="5">
        <item x="2"/>
        <item x="3"/>
        <item x="1"/>
        <item h="1" x="0"/>
        <item t="default"/>
      </items>
    </pivotField>
  </pivotFields>
  <rowFields count="1">
    <field x="16"/>
  </rowFields>
  <rowItems count="4">
    <i>
      <x/>
    </i>
    <i>
      <x v="1"/>
    </i>
    <i>
      <x v="2"/>
    </i>
    <i t="grand">
      <x/>
    </i>
  </rowItems>
  <colItems count="1">
    <i/>
  </colItems>
  <dataFields count="1">
    <dataField name="Suma de Valor FOB (Free On Board" fld="9" baseField="0" baseItem="0" numFmtId="4"/>
  </dataFields>
  <formats count="2">
    <format dxfId="16">
      <pivotArea outline="0" collapsedLevelsAreSubtotals="1" fieldPosition="0"/>
    </format>
    <format dxfId="15">
      <pivotArea dataOnly="0" labelOnly="1" outline="0" axis="axisValues" fieldPosition="0"/>
    </format>
  </formats>
  <chartFormats count="4">
    <chartFormat chart="5" format="0" series="1">
      <pivotArea type="data" outline="0" fieldPosition="0">
        <references count="1">
          <reference field="4294967294" count="1" selected="0">
            <x v="0"/>
          </reference>
        </references>
      </pivotArea>
    </chartFormat>
    <chartFormat chart="5" format="5">
      <pivotArea type="data" outline="0" fieldPosition="0">
        <references count="2">
          <reference field="4294967294" count="1" selected="0">
            <x v="0"/>
          </reference>
          <reference field="16" count="1" selected="0">
            <x v="0"/>
          </reference>
        </references>
      </pivotArea>
    </chartFormat>
    <chartFormat chart="5" format="6">
      <pivotArea type="data" outline="0" fieldPosition="0">
        <references count="2">
          <reference field="4294967294" count="1" selected="0">
            <x v="0"/>
          </reference>
          <reference field="16" count="1" selected="0">
            <x v="1"/>
          </reference>
        </references>
      </pivotArea>
    </chartFormat>
    <chartFormat chart="5" format="7">
      <pivotArea type="data" outline="0" fieldPosition="0">
        <references count="2">
          <reference field="4294967294" count="1" selected="0">
            <x v="0"/>
          </reference>
          <reference field="1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F6EE2EB-F7B6-4641-B891-91D88D4451DC}" name="TablaDinámica1" cacheId="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2">
  <location ref="A3:B9" firstHeaderRow="1" firstDataRow="1" firstDataCol="1"/>
  <pivotFields count="17">
    <pivotField showAll="0"/>
    <pivotField numFmtId="14" showAll="0"/>
    <pivotField showAll="0"/>
    <pivotField showAll="0"/>
    <pivotField axis="axisRow" showAll="0">
      <items count="6">
        <item x="2"/>
        <item x="1"/>
        <item x="3"/>
        <item x="0"/>
        <item x="4"/>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pivotFields>
  <rowFields count="1">
    <field x="4"/>
  </rowFields>
  <rowItems count="6">
    <i>
      <x/>
    </i>
    <i>
      <x v="1"/>
    </i>
    <i>
      <x v="2"/>
    </i>
    <i>
      <x v="3"/>
    </i>
    <i>
      <x v="4"/>
    </i>
    <i t="grand">
      <x/>
    </i>
  </rowItems>
  <colItems count="1">
    <i/>
  </colItems>
  <dataFields count="1">
    <dataField name="Suma de Valor FOB (Free On Board" fld="9" baseField="0" baseItem="0" numFmtId="4"/>
  </dataFields>
  <formats count="3">
    <format dxfId="19">
      <pivotArea outline="0" collapsedLevelsAreSubtotals="1" fieldPosition="0"/>
    </format>
    <format dxfId="18">
      <pivotArea field="4" type="button" dataOnly="0" labelOnly="1" outline="0" axis="axisRow" fieldPosition="0"/>
    </format>
    <format dxfId="17">
      <pivotArea dataOnly="0" labelOnly="1" outline="0" axis="axisValues" fieldPosition="0"/>
    </format>
  </format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9E4CCE8-0EB9-4EC9-B9DC-EBBE73FCE6C0}" name="TablaDinámica2" cacheId="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9">
  <location ref="A24:B30" firstHeaderRow="1" firstDataRow="1" firstDataCol="1"/>
  <pivotFields count="17">
    <pivotField showAll="0"/>
    <pivotField numFmtId="14" showAll="0"/>
    <pivotField showAll="0"/>
    <pivotField axis="axisRow" showAll="0">
      <items count="6">
        <item x="1"/>
        <item x="3"/>
        <item x="0"/>
        <item x="2"/>
        <item x="4"/>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s>
  <rowFields count="1">
    <field x="3"/>
  </rowFields>
  <rowItems count="6">
    <i>
      <x/>
    </i>
    <i>
      <x v="1"/>
    </i>
    <i>
      <x v="2"/>
    </i>
    <i>
      <x v="3"/>
    </i>
    <i>
      <x v="4"/>
    </i>
    <i t="grand">
      <x/>
    </i>
  </rowItems>
  <colItems count="1">
    <i/>
  </colItems>
  <dataFields count="1">
    <dataField name="Suma de Utilidad:" fld="11" baseField="0" baseItem="0" numFmtId="4"/>
  </dataFields>
  <formats count="1">
    <format dxfId="20">
      <pivotArea outline="0" collapsedLevelsAreSubtotals="1" fieldPosition="0"/>
    </format>
  </formats>
  <chartFormats count="1">
    <chartFormat chart="8"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52BCDE4-7395-42AD-A2B9-13396A295CFB}" name="Tabla3" displayName="Tabla3" ref="B2:D8" totalsRowShown="0">
  <autoFilter ref="B2:D8" xr:uid="{552BCDE4-7395-42AD-A2B9-13396A295CFB}"/>
  <tableColumns count="3">
    <tableColumn id="1" xr3:uid="{760AECE0-ED0D-4B1D-964E-D953BA70B075}" name="INTEGRANTES"/>
    <tableColumn id="2" xr3:uid="{B62338F6-01B5-409F-8232-17CBCAA9DACF}" name="APORTE PRINCIPAL"/>
    <tableColumn id="3" xr3:uid="{BE2907F0-173B-40D6-AEE7-02936208EBA7}" name="EVIDENCIA"/>
  </tableColumns>
  <tableStyleInfo name="TableStyleLight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3959E41-326E-4B69-B7B6-461473BCA928}" name="Tabla1" displayName="Tabla1" ref="B3:R104" totalsRowCount="1" headerRowDxfId="56" headerRowBorderDxfId="55" tableBorderDxfId="54" totalsRowBorderDxfId="53">
  <autoFilter ref="B3:R103" xr:uid="{93959E41-326E-4B69-B7B6-461473BCA928}">
    <filterColumn colId="3">
      <filters>
        <filter val="P001"/>
      </filters>
    </filterColumn>
  </autoFilter>
  <tableColumns count="17">
    <tableColumn id="1" xr3:uid="{68CFB4B9-98AF-4DA3-BBEF-64CAA1301DC2}" name="ID_Operación" dataDxfId="52" totalsRowDxfId="14"/>
    <tableColumn id="2" xr3:uid="{54E979AB-10ED-44DA-B3F7-D7BB2A45CF6A}" name="Fecha" dataDxfId="51" totalsRowDxfId="13"/>
    <tableColumn id="3" xr3:uid="{EA641525-D58D-4ED8-BE31-1A47A25D0874}" name="Cliente" dataDxfId="50" totalsRowDxfId="12"/>
    <tableColumn id="4" xr3:uid="{5FDDB677-0EED-4E50-B4BE-7E7B53EFE2B3}" name="Código Producto" dataDxfId="49" totalsRowDxfId="11"/>
    <tableColumn id="5" xr3:uid="{09386BDB-36FF-4221-86D7-96E164EE6F85}" name="País Destino" dataDxfId="48" totalsRowDxfId="10"/>
    <tableColumn id="6" xr3:uid="{C6182E6B-E8E0-4CB6-B4A3-4D9CD803DB04}" name="Unidades" dataDxfId="47" totalsRowDxfId="9"/>
    <tableColumn id="7" xr3:uid="{F055E87D-E1B1-4C8A-9A98-3F2BAD012D37}" name="Precio FOB" dataDxfId="46" totalsRowDxfId="8"/>
    <tableColumn id="8" xr3:uid="{B7F44731-ACBD-4D81-9602-F17D6B87A7F5}" name="Costo Unitario" dataDxfId="45" totalsRowDxfId="7"/>
    <tableColumn id="9" xr3:uid="{B6BB0F2E-7F9A-4990-A449-70C111657FC6}" name="Estado" dataDxfId="44" totalsRowDxfId="6"/>
    <tableColumn id="10" xr3:uid="{9AEAA6DB-BA87-42DF-8293-DE97CE09AA78}" name="Valor FOB (Free On Board" dataDxfId="43" totalsRowDxfId="5">
      <calculatedColumnFormula>+Tabla1[[#This Row],[Unidades]]*Tabla1[[#This Row],[Precio FOB]]</calculatedColumnFormula>
    </tableColumn>
    <tableColumn id="11" xr3:uid="{3E0FA16B-7E58-4DEA-ABC3-C33E8E29BB30}" name="Costo total" dataDxfId="42" totalsRowDxfId="4">
      <calculatedColumnFormula>+Tabla1[[#This Row],[Unidades]]*Tabla1[[#This Row],[Costo Unitario]]</calculatedColumnFormula>
    </tableColumn>
    <tableColumn id="12" xr3:uid="{823F4C06-7A4C-4607-86F7-DE852CD25A76}" name="Utilidad:" dataDxfId="41">
      <calculatedColumnFormula>+Tabla1[[#This Row],[Valor FOB (Free On Board]]-Tabla1[[#This Row],[Costo total]]</calculatedColumnFormula>
    </tableColumn>
    <tableColumn id="13" xr3:uid="{42E9EAB0-4DC4-4FB0-9675-EDF39F696462}" name="Margen" dataDxfId="40">
      <calculatedColumnFormula>+Tabla1[[#This Row],[Utilidad:]]/Tabla1[[#This Row],[Valor FOB (Free On Board]]</calculatedColumnFormula>
    </tableColumn>
    <tableColumn id="14" xr3:uid="{0DCFF7A1-BD04-4B8C-ABF3-A897622AFF1F}" name="Clasificación" dataDxfId="39" totalsRowDxfId="3">
      <calculatedColumnFormula>+IF(Tabla1[[#This Row],[Valor FOB (Free On Board]]&gt;=10000, "Grande", IF(Tabla1[[#This Row],[Valor FOB (Free On Board]]&gt;=5000, "Mediano", "Pequeno"))</calculatedColumnFormula>
    </tableColumn>
    <tableColumn id="16" xr3:uid="{22B115DA-D8D8-4F69-90DB-E86C596C66A7}" name="Tipo de Mercado" dataDxfId="38" totalsRowDxfId="2">
      <calculatedColumnFormula>VLOOKUP(Tabla1[[#This Row],[País Destino]], '3. Mercados'!$C$4:$F$9, 4, FALSE)</calculatedColumnFormula>
    </tableColumn>
    <tableColumn id="15" xr3:uid="{6190C5AC-FDC0-4C25-B6F1-940EEDCC73B0}" name=" Prioridad comercial" dataDxfId="37" totalsRowDxfId="1">
      <calculatedColumnFormula>IF(AND(Tabla1[[#This Row],[Tipo de Mercado]]="Estratégico", Tabla1[[#This Row],[Margen]]&gt;=30%), "Alta", IF(AND(Tabla1[[#This Row],[Tipo de Mercado]]="Estratégico", Tabla1[[#This Row],[Margen]]&lt;30%), "Media", IF(AND(Tabla1[[#This Row],[Tipo de Mercado]]="Potencial", Tabla1[[#This Row],[Margen]]&gt;=30%), "Media", "Baja")))</calculatedColumnFormula>
    </tableColumn>
    <tableColumn id="17" xr3:uid="{C670921C-4CD8-44F1-89CE-9C2AF57AFA47}" name="Región" dataDxfId="36" totalsRowDxfId="0"/>
  </tableColumns>
  <tableStyleInfo name="TableStyleLight2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D9F912D-E72D-4C2F-9FFA-AFC04198DA04}" name="Tabla2" displayName="Tabla2" ref="C3:F8" totalsRowShown="0" headerRowDxfId="35" headerRowBorderDxfId="34" tableBorderDxfId="33" totalsRowBorderDxfId="32">
  <autoFilter ref="C3:F8" xr:uid="{9D9F912D-E72D-4C2F-9FFA-AFC04198DA04}"/>
  <tableColumns count="4">
    <tableColumn id="1" xr3:uid="{3638FA23-910F-47DC-94AE-585C6B1531EE}" name="Código" dataDxfId="31"/>
    <tableColumn id="2" xr3:uid="{FB0BFF05-A37A-4CC7-B910-43ED3B969986}" name="Producto" dataDxfId="30"/>
    <tableColumn id="3" xr3:uid="{999EFF19-2BD7-4D2A-9D2D-D02A982EC42B}" name="Categoría" dataDxfId="29"/>
    <tableColumn id="4" xr3:uid="{C4046CCC-538D-4525-B3D9-A99B67655869}" name="Unidad de Medida" dataDxfId="28"/>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EDBBC62F-197A-4F87-AE7D-E87699947B19}" name="Tabla7" displayName="Tabla7" ref="B2:D13" totalsRowShown="0">
  <autoFilter ref="B2:D13" xr:uid="{EDBBC62F-197A-4F87-AE7D-E87699947B19}"/>
  <tableColumns count="3">
    <tableColumn id="1" xr3:uid="{F63F057F-E066-497A-B4C7-66F3F3E1042D}" name="Nº" dataDxfId="27"/>
    <tableColumn id="2" xr3:uid="{29E31800-168E-4B58-9BA9-6C3BB68A9BAC}" name="Pregunta"/>
    <tableColumn id="3" xr3:uid="{24499CF4-F193-4F75-A97B-DE64F7F2053A}" name="Respuesta" dataDxfId="26"/>
  </tableColumns>
  <tableStyleInfo name="TableStyleLight1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A3F0D250-6A93-4E55-B769-383AD6C141C5}" name="Tabla8" displayName="Tabla8" ref="B24:D29" totalsRowShown="0">
  <autoFilter ref="B24:D29" xr:uid="{A3F0D250-6A93-4E55-B769-383AD6C141C5}"/>
  <tableColumns count="3">
    <tableColumn id="1" xr3:uid="{AC49184F-A05E-4C1A-A6D3-45372FE4E8A8}" name="Cliente" dataDxfId="25"/>
    <tableColumn id="2" xr3:uid="{992AFCE1-AAD9-48C8-A1EC-96D30EFA24E1}" name="Operaciones" dataDxfId="24"/>
    <tableColumn id="3" xr3:uid="{F982CA6F-4894-4483-B7F4-DCC5038F938F}" name="Valor FOB" dataDxfId="23"/>
  </tableColumns>
  <tableStyleInfo name="TableStyleLight1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92F7CE4D-E651-4119-B599-6958366FD1BF}" name="Tabla9" displayName="Tabla9" ref="B33:E37" totalsRowShown="0" headerRowDxfId="22">
  <autoFilter ref="B33:E37" xr:uid="{92F7CE4D-E651-4119-B599-6958366FD1BF}"/>
  <tableColumns count="4">
    <tableColumn id="1" xr3:uid="{9235D3D8-559F-47ED-B7BB-60AF2D4359B6}" name="Operación" dataDxfId="21"/>
    <tableColumn id="2" xr3:uid="{18E190D4-2531-43F9-8CCE-F452782DDEB5}" name="Cliente"/>
    <tableColumn id="3" xr3:uid="{27F93B23-5D56-4C92-934C-A3F2BAADF721}" name="País destino"/>
    <tableColumn id="4" xr3:uid="{F6180225-8E60-460D-AF7C-88C1BA781832}" name="Valor FOB"/>
  </tableColumns>
  <tableStyleInfo name="TableStyleLight11"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table" Target="../tables/table5.xml"/><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1DC92C-CF97-48D0-B718-E361615B7D07}">
  <dimension ref="B2:D7"/>
  <sheetViews>
    <sheetView workbookViewId="0">
      <selection activeCell="D22" sqref="D22"/>
    </sheetView>
  </sheetViews>
  <sheetFormatPr baseColWidth="10" defaultRowHeight="14.4" x14ac:dyDescent="0.3"/>
  <cols>
    <col min="2" max="2" width="14.6640625" customWidth="1"/>
    <col min="3" max="4" width="24.21875" customWidth="1"/>
  </cols>
  <sheetData>
    <row r="2" spans="2:4" x14ac:dyDescent="0.3">
      <c r="B2" t="s">
        <v>221</v>
      </c>
      <c r="C2" t="s">
        <v>222</v>
      </c>
      <c r="D2" t="s">
        <v>223</v>
      </c>
    </row>
    <row r="3" spans="2:4" x14ac:dyDescent="0.3">
      <c r="B3" t="s">
        <v>226</v>
      </c>
      <c r="C3" t="s">
        <v>227</v>
      </c>
      <c r="D3" t="s">
        <v>229</v>
      </c>
    </row>
    <row r="4" spans="2:4" x14ac:dyDescent="0.3">
      <c r="B4" t="s">
        <v>226</v>
      </c>
      <c r="C4" t="s">
        <v>228</v>
      </c>
      <c r="D4" t="s">
        <v>229</v>
      </c>
    </row>
    <row r="5" spans="2:4" x14ac:dyDescent="0.3">
      <c r="B5" t="s">
        <v>224</v>
      </c>
      <c r="C5" t="s">
        <v>225</v>
      </c>
      <c r="D5" t="s">
        <v>229</v>
      </c>
    </row>
    <row r="6" spans="2:4" x14ac:dyDescent="0.3">
      <c r="B6" t="s">
        <v>224</v>
      </c>
      <c r="C6" t="s">
        <v>227</v>
      </c>
      <c r="D6" t="s">
        <v>229</v>
      </c>
    </row>
    <row r="7" spans="2:4" x14ac:dyDescent="0.3">
      <c r="B7" t="s">
        <v>230</v>
      </c>
      <c r="C7" t="s">
        <v>231</v>
      </c>
      <c r="D7" t="s">
        <v>232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03D38B-430D-415B-AA5D-CFC57CBDFEC2}">
  <dimension ref="B1:R105"/>
  <sheetViews>
    <sheetView topLeftCell="G2" workbookViewId="0">
      <selection activeCell="R5" sqref="R5"/>
    </sheetView>
  </sheetViews>
  <sheetFormatPr baseColWidth="10" defaultColWidth="11.44140625" defaultRowHeight="14.4" x14ac:dyDescent="0.3"/>
  <cols>
    <col min="2" max="2" width="14.33203125" customWidth="1"/>
    <col min="3" max="3" width="11.6640625" style="2" customWidth="1"/>
    <col min="4" max="4" width="16.44140625" customWidth="1"/>
    <col min="5" max="5" width="29.5546875" customWidth="1"/>
    <col min="6" max="6" width="31" customWidth="1"/>
    <col min="8" max="8" width="20.88671875" customWidth="1"/>
    <col min="9" max="9" width="14.88671875" customWidth="1"/>
    <col min="10" max="10" width="16" customWidth="1"/>
    <col min="11" max="11" width="29" customWidth="1"/>
    <col min="12" max="12" width="14.44140625" customWidth="1"/>
    <col min="14" max="14" width="11.5546875" customWidth="1"/>
    <col min="15" max="16" width="17.6640625" customWidth="1"/>
    <col min="17" max="17" width="23.33203125" bestFit="1" customWidth="1"/>
    <col min="18" max="18" width="13.109375" bestFit="1" customWidth="1"/>
    <col min="20" max="20" width="17.33203125" customWidth="1"/>
    <col min="23" max="23" width="21.5546875" customWidth="1"/>
    <col min="24" max="24" width="15.88671875" customWidth="1"/>
    <col min="25" max="25" width="12.88671875" customWidth="1"/>
    <col min="26" max="26" width="14.109375" bestFit="1" customWidth="1"/>
    <col min="27" max="27" width="19.109375" customWidth="1"/>
  </cols>
  <sheetData>
    <row r="1" spans="2:18" x14ac:dyDescent="0.3">
      <c r="E1" s="2"/>
    </row>
    <row r="3" spans="2:18" x14ac:dyDescent="0.3">
      <c r="B3" s="11" t="s">
        <v>0</v>
      </c>
      <c r="C3" s="12" t="s">
        <v>1</v>
      </c>
      <c r="D3" s="12" t="s">
        <v>2</v>
      </c>
      <c r="E3" s="12" t="s">
        <v>3</v>
      </c>
      <c r="F3" s="12" t="s">
        <v>4</v>
      </c>
      <c r="G3" s="12" t="s">
        <v>5</v>
      </c>
      <c r="H3" s="12" t="s">
        <v>6</v>
      </c>
      <c r="I3" s="12" t="s">
        <v>7</v>
      </c>
      <c r="J3" s="13" t="s">
        <v>8</v>
      </c>
      <c r="K3" s="12" t="s">
        <v>9</v>
      </c>
      <c r="L3" s="12" t="s">
        <v>10</v>
      </c>
      <c r="M3" s="12" t="s">
        <v>11</v>
      </c>
      <c r="N3" s="12" t="s">
        <v>12</v>
      </c>
      <c r="O3" s="12" t="s">
        <v>13</v>
      </c>
      <c r="P3" s="12" t="s">
        <v>14</v>
      </c>
      <c r="Q3" s="12" t="s">
        <v>15</v>
      </c>
      <c r="R3" s="12" t="s">
        <v>16</v>
      </c>
    </row>
    <row r="4" spans="2:18" hidden="1" x14ac:dyDescent="0.3">
      <c r="B4" s="9" t="s">
        <v>17</v>
      </c>
      <c r="C4" s="8">
        <v>46027</v>
      </c>
      <c r="D4" s="1" t="s">
        <v>18</v>
      </c>
      <c r="E4" s="6" t="s">
        <v>19</v>
      </c>
      <c r="F4" s="1" t="s">
        <v>20</v>
      </c>
      <c r="G4" s="1">
        <v>850</v>
      </c>
      <c r="H4" s="1">
        <v>4.8</v>
      </c>
      <c r="I4" s="1">
        <v>3.2</v>
      </c>
      <c r="J4" s="10" t="s">
        <v>21</v>
      </c>
      <c r="K4" s="24">
        <f>+Tabla1[[#This Row],[Unidades]]*Tabla1[[#This Row],[Precio FOB]]</f>
        <v>4080</v>
      </c>
      <c r="L4" s="24">
        <f>+Tabla1[[#This Row],[Unidades]]*Tabla1[[#This Row],[Costo Unitario]]</f>
        <v>2720</v>
      </c>
      <c r="M4">
        <f>+Tabla1[[#This Row],[Valor FOB (Free On Board]]-Tabla1[[#This Row],[Costo total]]</f>
        <v>1360</v>
      </c>
      <c r="N4">
        <f>+Tabla1[[#This Row],[Utilidad:]]/Tabla1[[#This Row],[Valor FOB (Free On Board]]</f>
        <v>0.33333333333333331</v>
      </c>
      <c r="O4" t="str">
        <f>+IF(Tabla1[[#This Row],[Valor FOB (Free On Board]]&gt;=10000, "Grande", IF(Tabla1[[#This Row],[Valor FOB (Free On Board]]&gt;=5000, "Mediano", "Pequeno"))</f>
        <v>Pequeno</v>
      </c>
      <c r="P4" t="str">
        <f>VLOOKUP(Tabla1[[#This Row],[País Destino]], '3. Mercados'!$C$4:$F$9, 4, FALSE)</f>
        <v>Estratégico</v>
      </c>
      <c r="Q4" t="str">
        <f>IF(AND(Tabla1[[#This Row],[Tipo de Mercado]]="Estratégico", Tabla1[[#This Row],[Margen]]&gt;=30%), "Alta", IF(AND(Tabla1[[#This Row],[Tipo de Mercado]]="Estratégico", Tabla1[[#This Row],[Margen]]&lt;30%), "Media", IF(AND(Tabla1[[#This Row],[Tipo de Mercado]]="Potencial", Tabla1[[#This Row],[Margen]]&gt;=30%), "Media", "Baja")))</f>
        <v>Alta</v>
      </c>
    </row>
    <row r="5" spans="2:18" x14ac:dyDescent="0.3">
      <c r="B5" s="9" t="s">
        <v>22</v>
      </c>
      <c r="C5" s="8">
        <v>46034</v>
      </c>
      <c r="D5" s="1" t="s">
        <v>23</v>
      </c>
      <c r="E5" s="6" t="s">
        <v>24</v>
      </c>
      <c r="F5" s="1" t="s">
        <v>25</v>
      </c>
      <c r="G5" s="1">
        <v>1200</v>
      </c>
      <c r="H5" s="1">
        <v>6.5</v>
      </c>
      <c r="I5" s="1">
        <v>4.0999999999999996</v>
      </c>
      <c r="J5" s="10" t="s">
        <v>26</v>
      </c>
      <c r="K5" s="27">
        <f>+Tabla1[[#This Row],[Unidades]]*Tabla1[[#This Row],[Precio FOB]]</f>
        <v>7800</v>
      </c>
      <c r="L5" s="27">
        <f>+Tabla1[[#This Row],[Unidades]]*Tabla1[[#This Row],[Costo Unitario]]</f>
        <v>4920</v>
      </c>
      <c r="M5" s="29">
        <f>+Tabla1[[#This Row],[Valor FOB (Free On Board]]-Tabla1[[#This Row],[Costo total]]</f>
        <v>2880</v>
      </c>
      <c r="N5">
        <f>+Tabla1[[#This Row],[Utilidad:]]/Tabla1[[#This Row],[Valor FOB (Free On Board]]</f>
        <v>0.36923076923076925</v>
      </c>
      <c r="O5" t="str">
        <f>+IF(Tabla1[[#This Row],[Valor FOB (Free On Board]]&gt;=10000, "Grande", IF(Tabla1[[#This Row],[Valor FOB (Free On Board]]&gt;=5000, "Mediano", "Pequeno"))</f>
        <v>Mediano</v>
      </c>
      <c r="P5" t="str">
        <f>VLOOKUP(Tabla1[[#This Row],[País Destino]], '3. Mercados'!$C$4:$F$9, 4, FALSE)</f>
        <v>Estratégico</v>
      </c>
      <c r="Q5" t="str">
        <f>IF(AND(Tabla1[[#This Row],[Tipo de Mercado]]="Estratégico", Tabla1[[#This Row],[Margen]]&gt;=30%), "Alta", IF(AND(Tabla1[[#This Row],[Tipo de Mercado]]="Estratégico", Tabla1[[#This Row],[Margen]]&lt;30%), "Media", IF(AND(Tabla1[[#This Row],[Tipo de Mercado]]="Potencial", Tabla1[[#This Row],[Margen]]&gt;=30%), "Media", "Baja")))</f>
        <v>Alta</v>
      </c>
      <c r="R5" t="str">
        <f>VLOOKUP(Tabla1[[#This Row],[País Destino]], '3. Mercados'!$C$4:$F$9, 2, FALSE)</f>
        <v>Norteamérica</v>
      </c>
    </row>
    <row r="6" spans="2:18" hidden="1" x14ac:dyDescent="0.3">
      <c r="B6" s="9" t="s">
        <v>27</v>
      </c>
      <c r="C6" s="8">
        <v>46042</v>
      </c>
      <c r="D6" s="1" t="s">
        <v>28</v>
      </c>
      <c r="E6" s="6" t="s">
        <v>29</v>
      </c>
      <c r="F6" s="1" t="s">
        <v>30</v>
      </c>
      <c r="G6" s="1">
        <v>650</v>
      </c>
      <c r="H6" s="1">
        <v>8.1999999999999993</v>
      </c>
      <c r="I6" s="1">
        <v>5.9</v>
      </c>
      <c r="J6" s="10" t="s">
        <v>21</v>
      </c>
      <c r="K6" s="1">
        <f>+Tabla1[[#This Row],[Unidades]]*Tabla1[[#This Row],[Precio FOB]]</f>
        <v>5329.9999999999991</v>
      </c>
      <c r="L6" s="1">
        <f>+Tabla1[[#This Row],[Unidades]]*Tabla1[[#This Row],[Costo Unitario]]</f>
        <v>3835.0000000000005</v>
      </c>
      <c r="M6">
        <f>+Tabla1[[#This Row],[Valor FOB (Free On Board]]-Tabla1[[#This Row],[Costo total]]</f>
        <v>1494.9999999999986</v>
      </c>
      <c r="N6">
        <f>+Tabla1[[#This Row],[Utilidad:]]/Tabla1[[#This Row],[Valor FOB (Free On Board]]</f>
        <v>0.28048780487804859</v>
      </c>
      <c r="O6" t="str">
        <f>+IF(Tabla1[[#This Row],[Valor FOB (Free On Board]]&gt;=10000, "Grande", IF(Tabla1[[#This Row],[Valor FOB (Free On Board]]&gt;=5000, "Mediano", "Pequeno"))</f>
        <v>Mediano</v>
      </c>
      <c r="P6" t="str">
        <f>VLOOKUP(Tabla1[[#This Row],[País Destino]], '3. Mercados'!$C$4:$F$9, 4, FALSE)</f>
        <v>Estratégico</v>
      </c>
      <c r="Q6" t="str">
        <f>IF(AND(Tabla1[[#This Row],[Tipo de Mercado]]="Estratégico", Tabla1[[#This Row],[Margen]]&gt;=30%), "Alta", IF(AND(Tabla1[[#This Row],[Tipo de Mercado]]="Estratégico", Tabla1[[#This Row],[Margen]]&lt;30%), "Media", IF(AND(Tabla1[[#This Row],[Tipo de Mercado]]="Potencial", Tabla1[[#This Row],[Margen]]&gt;=30%), "Media", "Baja")))</f>
        <v>Media</v>
      </c>
    </row>
    <row r="7" spans="2:18" hidden="1" x14ac:dyDescent="0.3">
      <c r="B7" s="9" t="s">
        <v>31</v>
      </c>
      <c r="C7" s="8">
        <v>46056</v>
      </c>
      <c r="D7" s="1" t="s">
        <v>32</v>
      </c>
      <c r="E7" s="6" t="s">
        <v>33</v>
      </c>
      <c r="F7" s="1" t="s">
        <v>34</v>
      </c>
      <c r="G7" s="1">
        <v>950</v>
      </c>
      <c r="H7" s="1">
        <v>7.1</v>
      </c>
      <c r="I7" s="1">
        <v>4.8</v>
      </c>
      <c r="J7" s="10" t="s">
        <v>35</v>
      </c>
      <c r="K7" s="1">
        <f>+Tabla1[[#This Row],[Unidades]]*Tabla1[[#This Row],[Precio FOB]]</f>
        <v>6745</v>
      </c>
      <c r="L7" s="1">
        <f>+Tabla1[[#This Row],[Unidades]]*Tabla1[[#This Row],[Costo Unitario]]</f>
        <v>4560</v>
      </c>
      <c r="M7">
        <f>+Tabla1[[#This Row],[Valor FOB (Free On Board]]-Tabla1[[#This Row],[Costo total]]</f>
        <v>2185</v>
      </c>
      <c r="N7">
        <f>+Tabla1[[#This Row],[Utilidad:]]/Tabla1[[#This Row],[Valor FOB (Free On Board]]</f>
        <v>0.323943661971831</v>
      </c>
      <c r="O7" t="str">
        <f>+IF(Tabla1[[#This Row],[Valor FOB (Free On Board]]&gt;=10000, "Grande", IF(Tabla1[[#This Row],[Valor FOB (Free On Board]]&gt;=5000, "Mediano", "Pequeno"))</f>
        <v>Mediano</v>
      </c>
      <c r="P7" t="str">
        <f>VLOOKUP(Tabla1[[#This Row],[País Destino]], '3. Mercados'!$C$4:$F$9, 4, FALSE)</f>
        <v>Potencial</v>
      </c>
      <c r="Q7" t="str">
        <f>IF(AND(Tabla1[[#This Row],[Tipo de Mercado]]="Estratégico", Tabla1[[#This Row],[Margen]]&gt;=30%), "Alta", IF(AND(Tabla1[[#This Row],[Tipo de Mercado]]="Estratégico", Tabla1[[#This Row],[Margen]]&lt;30%), "Media", IF(AND(Tabla1[[#This Row],[Tipo de Mercado]]="Potencial", Tabla1[[#This Row],[Margen]]&gt;=30%), "Media", "Baja")))</f>
        <v>Media</v>
      </c>
    </row>
    <row r="8" spans="2:18" hidden="1" x14ac:dyDescent="0.3">
      <c r="B8" s="9" t="s">
        <v>36</v>
      </c>
      <c r="C8" s="8">
        <v>46068</v>
      </c>
      <c r="D8" s="1" t="s">
        <v>37</v>
      </c>
      <c r="E8" s="6" t="s">
        <v>38</v>
      </c>
      <c r="F8" s="1" t="s">
        <v>39</v>
      </c>
      <c r="G8" s="1">
        <v>500</v>
      </c>
      <c r="H8" s="1">
        <v>12.5</v>
      </c>
      <c r="I8" s="1">
        <v>8.6999999999999993</v>
      </c>
      <c r="J8" s="10" t="s">
        <v>26</v>
      </c>
      <c r="K8" s="1">
        <f>+Tabla1[[#This Row],[Unidades]]*Tabla1[[#This Row],[Precio FOB]]</f>
        <v>6250</v>
      </c>
      <c r="L8" s="1">
        <f>+Tabla1[[#This Row],[Unidades]]*Tabla1[[#This Row],[Costo Unitario]]</f>
        <v>4350</v>
      </c>
      <c r="M8">
        <f>+Tabla1[[#This Row],[Valor FOB (Free On Board]]-Tabla1[[#This Row],[Costo total]]</f>
        <v>1900</v>
      </c>
      <c r="N8">
        <f>+Tabla1[[#This Row],[Utilidad:]]/Tabla1[[#This Row],[Valor FOB (Free On Board]]</f>
        <v>0.30399999999999999</v>
      </c>
      <c r="O8" t="str">
        <f>+IF(Tabla1[[#This Row],[Valor FOB (Free On Board]]&gt;=10000, "Grande", IF(Tabla1[[#This Row],[Valor FOB (Free On Board]]&gt;=5000, "Mediano", "Pequeno"))</f>
        <v>Mediano</v>
      </c>
      <c r="P8" t="str">
        <f>VLOOKUP(Tabla1[[#This Row],[País Destino]], '3. Mercados'!$C$4:$F$9, 4, FALSE)</f>
        <v>Potencial</v>
      </c>
      <c r="Q8" t="str">
        <f>IF(AND(Tabla1[[#This Row],[Tipo de Mercado]]="Estratégico", Tabla1[[#This Row],[Margen]]&gt;=30%), "Alta", IF(AND(Tabla1[[#This Row],[Tipo de Mercado]]="Estratégico", Tabla1[[#This Row],[Margen]]&lt;30%), "Media", IF(AND(Tabla1[[#This Row],[Tipo de Mercado]]="Potencial", Tabla1[[#This Row],[Margen]]&gt;=30%), "Media", "Baja")))</f>
        <v>Media</v>
      </c>
    </row>
    <row r="9" spans="2:18" hidden="1" x14ac:dyDescent="0.3">
      <c r="B9" s="9" t="s">
        <v>40</v>
      </c>
      <c r="C9" s="8">
        <v>46081</v>
      </c>
      <c r="D9" s="1" t="s">
        <v>23</v>
      </c>
      <c r="E9" s="6" t="s">
        <v>19</v>
      </c>
      <c r="F9" s="1" t="s">
        <v>25</v>
      </c>
      <c r="G9" s="1">
        <v>1400</v>
      </c>
      <c r="H9" s="1">
        <v>4.8</v>
      </c>
      <c r="I9" s="1">
        <v>3.2</v>
      </c>
      <c r="J9" s="10" t="s">
        <v>26</v>
      </c>
      <c r="K9" s="1">
        <f>+Tabla1[[#This Row],[Unidades]]*Tabla1[[#This Row],[Precio FOB]]</f>
        <v>6720</v>
      </c>
      <c r="L9" s="1">
        <f>+Tabla1[[#This Row],[Unidades]]*Tabla1[[#This Row],[Costo Unitario]]</f>
        <v>4480</v>
      </c>
      <c r="M9">
        <f>+Tabla1[[#This Row],[Valor FOB (Free On Board]]-Tabla1[[#This Row],[Costo total]]</f>
        <v>2240</v>
      </c>
      <c r="N9">
        <f>+Tabla1[[#This Row],[Utilidad:]]/Tabla1[[#This Row],[Valor FOB (Free On Board]]</f>
        <v>0.33333333333333331</v>
      </c>
      <c r="O9" t="str">
        <f>+IF(Tabla1[[#This Row],[Valor FOB (Free On Board]]&gt;=10000, "Grande", IF(Tabla1[[#This Row],[Valor FOB (Free On Board]]&gt;=5000, "Mediano", "Pequeno"))</f>
        <v>Mediano</v>
      </c>
      <c r="P9" t="str">
        <f>VLOOKUP(Tabla1[[#This Row],[País Destino]], '3. Mercados'!$C$4:$F$9, 4, FALSE)</f>
        <v>Estratégico</v>
      </c>
      <c r="Q9" t="str">
        <f>IF(AND(Tabla1[[#This Row],[Tipo de Mercado]]="Estratégico", Tabla1[[#This Row],[Margen]]&gt;=30%), "Alta", IF(AND(Tabla1[[#This Row],[Tipo de Mercado]]="Estratégico", Tabla1[[#This Row],[Margen]]&lt;30%), "Media", IF(AND(Tabla1[[#This Row],[Tipo de Mercado]]="Potencial", Tabla1[[#This Row],[Margen]]&gt;=30%), "Media", "Baja")))</f>
        <v>Alta</v>
      </c>
    </row>
    <row r="10" spans="2:18" x14ac:dyDescent="0.3">
      <c r="B10" s="9" t="s">
        <v>41</v>
      </c>
      <c r="C10" s="8">
        <v>46089</v>
      </c>
      <c r="D10" s="1" t="s">
        <v>28</v>
      </c>
      <c r="E10" s="6" t="s">
        <v>24</v>
      </c>
      <c r="F10" s="1" t="s">
        <v>30</v>
      </c>
      <c r="G10" s="1">
        <v>900</v>
      </c>
      <c r="H10" s="1">
        <v>6.5</v>
      </c>
      <c r="I10" s="1">
        <v>4.0999999999999996</v>
      </c>
      <c r="J10" s="10" t="s">
        <v>21</v>
      </c>
      <c r="K10" s="27">
        <f>+Tabla1[[#This Row],[Unidades]]*Tabla1[[#This Row],[Precio FOB]]</f>
        <v>5850</v>
      </c>
      <c r="L10" s="27">
        <f>+Tabla1[[#This Row],[Unidades]]*Tabla1[[#This Row],[Costo Unitario]]</f>
        <v>3689.9999999999995</v>
      </c>
      <c r="M10" s="29">
        <f>+Tabla1[[#This Row],[Valor FOB (Free On Board]]-Tabla1[[#This Row],[Costo total]]</f>
        <v>2160.0000000000005</v>
      </c>
      <c r="N10">
        <f>+Tabla1[[#This Row],[Utilidad:]]/Tabla1[[#This Row],[Valor FOB (Free On Board]]</f>
        <v>0.36923076923076931</v>
      </c>
      <c r="O10" t="str">
        <f>+IF(Tabla1[[#This Row],[Valor FOB (Free On Board]]&gt;=10000, "Grande", IF(Tabla1[[#This Row],[Valor FOB (Free On Board]]&gt;=5000, "Mediano", "Pequeno"))</f>
        <v>Mediano</v>
      </c>
      <c r="P10" t="str">
        <f>VLOOKUP(Tabla1[[#This Row],[País Destino]], '3. Mercados'!$C$4:$F$9, 4, FALSE)</f>
        <v>Estratégico</v>
      </c>
      <c r="Q10" t="str">
        <f>IF(AND(Tabla1[[#This Row],[Tipo de Mercado]]="Estratégico", Tabla1[[#This Row],[Margen]]&gt;=30%), "Alta", IF(AND(Tabla1[[#This Row],[Tipo de Mercado]]="Estratégico", Tabla1[[#This Row],[Margen]]&lt;30%), "Media", IF(AND(Tabla1[[#This Row],[Tipo de Mercado]]="Potencial", Tabla1[[#This Row],[Margen]]&gt;=30%), "Media", "Baja")))</f>
        <v>Alta</v>
      </c>
      <c r="R10" t="str">
        <f>VLOOKUP(Tabla1[[#This Row],[País Destino]], '3. Mercados'!$C$4:$F$9, 2, FALSE)</f>
        <v>Centroamérica</v>
      </c>
    </row>
    <row r="11" spans="2:18" hidden="1" x14ac:dyDescent="0.3">
      <c r="B11" s="9" t="s">
        <v>42</v>
      </c>
      <c r="C11" s="8">
        <v>46099</v>
      </c>
      <c r="D11" s="1" t="s">
        <v>18</v>
      </c>
      <c r="E11" s="6" t="s">
        <v>29</v>
      </c>
      <c r="F11" s="1" t="s">
        <v>20</v>
      </c>
      <c r="G11" s="1">
        <v>750</v>
      </c>
      <c r="H11" s="1">
        <v>8.1999999999999993</v>
      </c>
      <c r="I11" s="1">
        <v>5.9</v>
      </c>
      <c r="J11" s="10" t="s">
        <v>26</v>
      </c>
      <c r="K11" s="1">
        <f>+Tabla1[[#This Row],[Unidades]]*Tabla1[[#This Row],[Precio FOB]]</f>
        <v>6149.9999999999991</v>
      </c>
      <c r="L11" s="1">
        <f>+Tabla1[[#This Row],[Unidades]]*Tabla1[[#This Row],[Costo Unitario]]</f>
        <v>4425</v>
      </c>
      <c r="M11">
        <f>+Tabla1[[#This Row],[Valor FOB (Free On Board]]-Tabla1[[#This Row],[Costo total]]</f>
        <v>1724.9999999999991</v>
      </c>
      <c r="N11">
        <f>+Tabla1[[#This Row],[Utilidad:]]/Tabla1[[#This Row],[Valor FOB (Free On Board]]</f>
        <v>0.2804878048780487</v>
      </c>
      <c r="O11" t="str">
        <f>+IF(Tabla1[[#This Row],[Valor FOB (Free On Board]]&gt;=10000, "Grande", IF(Tabla1[[#This Row],[Valor FOB (Free On Board]]&gt;=5000, "Mediano", "Pequeno"))</f>
        <v>Mediano</v>
      </c>
      <c r="P11" t="str">
        <f>VLOOKUP(Tabla1[[#This Row],[País Destino]], '3. Mercados'!$C$4:$F$9, 4, FALSE)</f>
        <v>Estratégico</v>
      </c>
      <c r="Q11" t="str">
        <f>IF(AND(Tabla1[[#This Row],[Tipo de Mercado]]="Estratégico", Tabla1[[#This Row],[Margen]]&gt;=30%), "Alta", IF(AND(Tabla1[[#This Row],[Tipo de Mercado]]="Estratégico", Tabla1[[#This Row],[Margen]]&lt;30%), "Media", IF(AND(Tabla1[[#This Row],[Tipo de Mercado]]="Potencial", Tabla1[[#This Row],[Margen]]&gt;=30%), "Media", "Baja")))</f>
        <v>Media</v>
      </c>
    </row>
    <row r="12" spans="2:18" hidden="1" x14ac:dyDescent="0.3">
      <c r="B12" s="9" t="s">
        <v>43</v>
      </c>
      <c r="C12" s="8">
        <v>46106</v>
      </c>
      <c r="D12" s="1" t="s">
        <v>32</v>
      </c>
      <c r="E12" s="6" t="s">
        <v>38</v>
      </c>
      <c r="F12" s="1" t="s">
        <v>34</v>
      </c>
      <c r="G12" s="1">
        <v>600</v>
      </c>
      <c r="H12" s="1">
        <v>12.5</v>
      </c>
      <c r="I12" s="1">
        <v>8.6999999999999993</v>
      </c>
      <c r="J12" s="10" t="s">
        <v>21</v>
      </c>
      <c r="K12" s="1">
        <f>+Tabla1[[#This Row],[Unidades]]*Tabla1[[#This Row],[Precio FOB]]</f>
        <v>7500</v>
      </c>
      <c r="L12" s="1">
        <f>+Tabla1[[#This Row],[Unidades]]*Tabla1[[#This Row],[Costo Unitario]]</f>
        <v>5220</v>
      </c>
      <c r="M12">
        <f>+Tabla1[[#This Row],[Valor FOB (Free On Board]]-Tabla1[[#This Row],[Costo total]]</f>
        <v>2280</v>
      </c>
      <c r="N12">
        <f>+Tabla1[[#This Row],[Utilidad:]]/Tabla1[[#This Row],[Valor FOB (Free On Board]]</f>
        <v>0.30399999999999999</v>
      </c>
      <c r="O12" t="str">
        <f>+IF(Tabla1[[#This Row],[Valor FOB (Free On Board]]&gt;=10000, "Grande", IF(Tabla1[[#This Row],[Valor FOB (Free On Board]]&gt;=5000, "Mediano", "Pequeno"))</f>
        <v>Mediano</v>
      </c>
      <c r="P12" t="str">
        <f>VLOOKUP(Tabla1[[#This Row],[País Destino]], '3. Mercados'!$C$4:$F$9, 4, FALSE)</f>
        <v>Potencial</v>
      </c>
      <c r="Q12" t="str">
        <f>IF(AND(Tabla1[[#This Row],[Tipo de Mercado]]="Estratégico", Tabla1[[#This Row],[Margen]]&gt;=30%), "Alta", IF(AND(Tabla1[[#This Row],[Tipo de Mercado]]="Estratégico", Tabla1[[#This Row],[Margen]]&lt;30%), "Media", IF(AND(Tabla1[[#This Row],[Tipo de Mercado]]="Potencial", Tabla1[[#This Row],[Margen]]&gt;=30%), "Media", "Baja")))</f>
        <v>Media</v>
      </c>
    </row>
    <row r="13" spans="2:18" hidden="1" x14ac:dyDescent="0.3">
      <c r="B13" s="9" t="s">
        <v>44</v>
      </c>
      <c r="C13" s="8">
        <v>46114</v>
      </c>
      <c r="D13" s="1" t="s">
        <v>37</v>
      </c>
      <c r="E13" s="6" t="s">
        <v>33</v>
      </c>
      <c r="F13" s="1" t="s">
        <v>39</v>
      </c>
      <c r="G13" s="1">
        <v>1100</v>
      </c>
      <c r="H13" s="1">
        <v>7.1</v>
      </c>
      <c r="I13" s="1">
        <v>4.8</v>
      </c>
      <c r="J13" s="10" t="s">
        <v>26</v>
      </c>
      <c r="K13" s="1">
        <f>+Tabla1[[#This Row],[Unidades]]*Tabla1[[#This Row],[Precio FOB]]</f>
        <v>7810</v>
      </c>
      <c r="L13" s="1">
        <f>+Tabla1[[#This Row],[Unidades]]*Tabla1[[#This Row],[Costo Unitario]]</f>
        <v>5280</v>
      </c>
      <c r="M13">
        <f>+Tabla1[[#This Row],[Valor FOB (Free On Board]]-Tabla1[[#This Row],[Costo total]]</f>
        <v>2530</v>
      </c>
      <c r="N13">
        <f>+Tabla1[[#This Row],[Utilidad:]]/Tabla1[[#This Row],[Valor FOB (Free On Board]]</f>
        <v>0.323943661971831</v>
      </c>
      <c r="O13" t="str">
        <f>+IF(Tabla1[[#This Row],[Valor FOB (Free On Board]]&gt;=10000, "Grande", IF(Tabla1[[#This Row],[Valor FOB (Free On Board]]&gt;=5000, "Mediano", "Pequeno"))</f>
        <v>Mediano</v>
      </c>
      <c r="P13" t="str">
        <f>VLOOKUP(Tabla1[[#This Row],[País Destino]], '3. Mercados'!$C$4:$F$9, 4, FALSE)</f>
        <v>Potencial</v>
      </c>
      <c r="Q13" t="str">
        <f>IF(AND(Tabla1[[#This Row],[Tipo de Mercado]]="Estratégico", Tabla1[[#This Row],[Margen]]&gt;=30%), "Alta", IF(AND(Tabla1[[#This Row],[Tipo de Mercado]]="Estratégico", Tabla1[[#This Row],[Margen]]&lt;30%), "Media", IF(AND(Tabla1[[#This Row],[Tipo de Mercado]]="Potencial", Tabla1[[#This Row],[Margen]]&gt;=30%), "Media", "Baja")))</f>
        <v>Media</v>
      </c>
    </row>
    <row r="14" spans="2:18" hidden="1" x14ac:dyDescent="0.3">
      <c r="B14" s="9" t="s">
        <v>45</v>
      </c>
      <c r="C14" s="8">
        <v>46122</v>
      </c>
      <c r="D14" s="1" t="s">
        <v>23</v>
      </c>
      <c r="E14" s="6" t="s">
        <v>29</v>
      </c>
      <c r="F14" s="1" t="s">
        <v>25</v>
      </c>
      <c r="G14" s="1">
        <v>1300</v>
      </c>
      <c r="H14" s="1">
        <v>8.1999999999999993</v>
      </c>
      <c r="I14" s="1">
        <v>5.9</v>
      </c>
      <c r="J14" s="10" t="s">
        <v>26</v>
      </c>
      <c r="K14" s="1">
        <f>+Tabla1[[#This Row],[Unidades]]*Tabla1[[#This Row],[Precio FOB]]</f>
        <v>10659.999999999998</v>
      </c>
      <c r="L14" s="1">
        <f>+Tabla1[[#This Row],[Unidades]]*Tabla1[[#This Row],[Costo Unitario]]</f>
        <v>7670.0000000000009</v>
      </c>
      <c r="M14">
        <f>+Tabla1[[#This Row],[Valor FOB (Free On Board]]-Tabla1[[#This Row],[Costo total]]</f>
        <v>2989.9999999999973</v>
      </c>
      <c r="N14">
        <f>+Tabla1[[#This Row],[Utilidad:]]/Tabla1[[#This Row],[Valor FOB (Free On Board]]</f>
        <v>0.28048780487804859</v>
      </c>
      <c r="O14" t="str">
        <f>+IF(Tabla1[[#This Row],[Valor FOB (Free On Board]]&gt;=10000, "Grande", IF(Tabla1[[#This Row],[Valor FOB (Free On Board]]&gt;=5000, "Mediano", "Pequeno"))</f>
        <v>Grande</v>
      </c>
      <c r="P14" t="str">
        <f>VLOOKUP(Tabla1[[#This Row],[País Destino]], '3. Mercados'!$C$4:$F$9, 4, FALSE)</f>
        <v>Estratégico</v>
      </c>
      <c r="Q14" t="str">
        <f>IF(AND(Tabla1[[#This Row],[Tipo de Mercado]]="Estratégico", Tabla1[[#This Row],[Margen]]&gt;=30%), "Alta", IF(AND(Tabla1[[#This Row],[Tipo de Mercado]]="Estratégico", Tabla1[[#This Row],[Margen]]&lt;30%), "Media", IF(AND(Tabla1[[#This Row],[Tipo de Mercado]]="Potencial", Tabla1[[#This Row],[Margen]]&gt;=30%), "Media", "Baja")))</f>
        <v>Media</v>
      </c>
    </row>
    <row r="15" spans="2:18" x14ac:dyDescent="0.3">
      <c r="B15" s="9" t="s">
        <v>46</v>
      </c>
      <c r="C15" s="8">
        <v>46130</v>
      </c>
      <c r="D15" s="1" t="s">
        <v>18</v>
      </c>
      <c r="E15" s="6" t="s">
        <v>24</v>
      </c>
      <c r="F15" s="1" t="s">
        <v>20</v>
      </c>
      <c r="G15" s="1">
        <v>700</v>
      </c>
      <c r="H15" s="1">
        <v>6.5</v>
      </c>
      <c r="I15" s="1">
        <v>4.0999999999999996</v>
      </c>
      <c r="J15" s="10" t="s">
        <v>35</v>
      </c>
      <c r="K15" s="27">
        <f>+Tabla1[[#This Row],[Unidades]]*Tabla1[[#This Row],[Precio FOB]]</f>
        <v>4550</v>
      </c>
      <c r="L15" s="27">
        <f>+Tabla1[[#This Row],[Unidades]]*Tabla1[[#This Row],[Costo Unitario]]</f>
        <v>2869.9999999999995</v>
      </c>
      <c r="M15" s="29">
        <f>+Tabla1[[#This Row],[Valor FOB (Free On Board]]-Tabla1[[#This Row],[Costo total]]</f>
        <v>1680.0000000000005</v>
      </c>
      <c r="N15">
        <f>+Tabla1[[#This Row],[Utilidad:]]/Tabla1[[#This Row],[Valor FOB (Free On Board]]</f>
        <v>0.36923076923076931</v>
      </c>
      <c r="O15" t="str">
        <f>+IF(Tabla1[[#This Row],[Valor FOB (Free On Board]]&gt;=10000, "Grande", IF(Tabla1[[#This Row],[Valor FOB (Free On Board]]&gt;=5000, "Mediano", "Pequeno"))</f>
        <v>Pequeno</v>
      </c>
      <c r="P15" t="str">
        <f>VLOOKUP(Tabla1[[#This Row],[País Destino]], '3. Mercados'!$C$4:$F$9, 4, FALSE)</f>
        <v>Estratégico</v>
      </c>
      <c r="Q15" t="str">
        <f>IF(AND(Tabla1[[#This Row],[Tipo de Mercado]]="Estratégico", Tabla1[[#This Row],[Margen]]&gt;=30%), "Alta", IF(AND(Tabla1[[#This Row],[Tipo de Mercado]]="Estratégico", Tabla1[[#This Row],[Margen]]&lt;30%), "Media", IF(AND(Tabla1[[#This Row],[Tipo de Mercado]]="Potencial", Tabla1[[#This Row],[Margen]]&gt;=30%), "Media", "Baja")))</f>
        <v>Alta</v>
      </c>
      <c r="R15" t="str">
        <f>VLOOKUP(Tabla1[[#This Row],[País Destino]], '3. Mercados'!$C$4:$F$9, 2, FALSE)</f>
        <v>Centroamérica</v>
      </c>
    </row>
    <row r="16" spans="2:18" hidden="1" x14ac:dyDescent="0.3">
      <c r="B16" s="9" t="s">
        <v>47</v>
      </c>
      <c r="C16" s="8">
        <v>46139</v>
      </c>
      <c r="D16" s="1" t="s">
        <v>28</v>
      </c>
      <c r="E16" s="6" t="s">
        <v>38</v>
      </c>
      <c r="F16" s="1" t="s">
        <v>30</v>
      </c>
      <c r="G16" s="1">
        <v>450</v>
      </c>
      <c r="H16" s="1">
        <v>12.5</v>
      </c>
      <c r="I16" s="1">
        <v>8.6999999999999993</v>
      </c>
      <c r="J16" s="10" t="s">
        <v>21</v>
      </c>
      <c r="K16" s="1">
        <f>+Tabla1[[#This Row],[Unidades]]*Tabla1[[#This Row],[Precio FOB]]</f>
        <v>5625</v>
      </c>
      <c r="L16" s="1">
        <f>+Tabla1[[#This Row],[Unidades]]*Tabla1[[#This Row],[Costo Unitario]]</f>
        <v>3914.9999999999995</v>
      </c>
      <c r="M16">
        <f>+Tabla1[[#This Row],[Valor FOB (Free On Board]]-Tabla1[[#This Row],[Costo total]]</f>
        <v>1710.0000000000005</v>
      </c>
      <c r="N16">
        <f>+Tabla1[[#This Row],[Utilidad:]]/Tabla1[[#This Row],[Valor FOB (Free On Board]]</f>
        <v>0.3040000000000001</v>
      </c>
      <c r="O16" t="str">
        <f>+IF(Tabla1[[#This Row],[Valor FOB (Free On Board]]&gt;=10000, "Grande", IF(Tabla1[[#This Row],[Valor FOB (Free On Board]]&gt;=5000, "Mediano", "Pequeno"))</f>
        <v>Mediano</v>
      </c>
      <c r="P16" t="str">
        <f>VLOOKUP(Tabla1[[#This Row],[País Destino]], '3. Mercados'!$C$4:$F$9, 4, FALSE)</f>
        <v>Estratégico</v>
      </c>
      <c r="Q16" t="str">
        <f>IF(AND(Tabla1[[#This Row],[Tipo de Mercado]]="Estratégico", Tabla1[[#This Row],[Margen]]&gt;=30%), "Alta", IF(AND(Tabla1[[#This Row],[Tipo de Mercado]]="Estratégico", Tabla1[[#This Row],[Margen]]&lt;30%), "Media", IF(AND(Tabla1[[#This Row],[Tipo de Mercado]]="Potencial", Tabla1[[#This Row],[Margen]]&gt;=30%), "Media", "Baja")))</f>
        <v>Alta</v>
      </c>
    </row>
    <row r="17" spans="2:18" hidden="1" x14ac:dyDescent="0.3">
      <c r="B17" s="9" t="s">
        <v>48</v>
      </c>
      <c r="C17" s="8">
        <v>46147</v>
      </c>
      <c r="D17" s="1" t="s">
        <v>32</v>
      </c>
      <c r="E17" s="6" t="s">
        <v>19</v>
      </c>
      <c r="F17" s="1" t="s">
        <v>34</v>
      </c>
      <c r="G17" s="1">
        <v>1000</v>
      </c>
      <c r="H17" s="1">
        <v>4.8</v>
      </c>
      <c r="I17" s="1">
        <v>3.2</v>
      </c>
      <c r="J17" s="10" t="s">
        <v>26</v>
      </c>
      <c r="K17" s="1">
        <f>+Tabla1[[#This Row],[Unidades]]*Tabla1[[#This Row],[Precio FOB]]</f>
        <v>4800</v>
      </c>
      <c r="L17" s="1">
        <f>+Tabla1[[#This Row],[Unidades]]*Tabla1[[#This Row],[Costo Unitario]]</f>
        <v>3200</v>
      </c>
      <c r="M17">
        <f>+Tabla1[[#This Row],[Valor FOB (Free On Board]]-Tabla1[[#This Row],[Costo total]]</f>
        <v>1600</v>
      </c>
      <c r="N17">
        <f>+Tabla1[[#This Row],[Utilidad:]]/Tabla1[[#This Row],[Valor FOB (Free On Board]]</f>
        <v>0.33333333333333331</v>
      </c>
      <c r="O17" t="str">
        <f>+IF(Tabla1[[#This Row],[Valor FOB (Free On Board]]&gt;=10000, "Grande", IF(Tabla1[[#This Row],[Valor FOB (Free On Board]]&gt;=5000, "Mediano", "Pequeno"))</f>
        <v>Pequeno</v>
      </c>
      <c r="P17" t="str">
        <f>VLOOKUP(Tabla1[[#This Row],[País Destino]], '3. Mercados'!$C$4:$F$9, 4, FALSE)</f>
        <v>Potencial</v>
      </c>
      <c r="Q17" t="str">
        <f>IF(AND(Tabla1[[#This Row],[Tipo de Mercado]]="Estratégico", Tabla1[[#This Row],[Margen]]&gt;=30%), "Alta", IF(AND(Tabla1[[#This Row],[Tipo de Mercado]]="Estratégico", Tabla1[[#This Row],[Margen]]&lt;30%), "Media", IF(AND(Tabla1[[#This Row],[Tipo de Mercado]]="Potencial", Tabla1[[#This Row],[Margen]]&gt;=30%), "Media", "Baja")))</f>
        <v>Media</v>
      </c>
    </row>
    <row r="18" spans="2:18" x14ac:dyDescent="0.3">
      <c r="B18" s="9" t="s">
        <v>49</v>
      </c>
      <c r="C18" s="8">
        <v>46156</v>
      </c>
      <c r="D18" s="1" t="s">
        <v>37</v>
      </c>
      <c r="E18" s="6" t="s">
        <v>24</v>
      </c>
      <c r="F18" s="1" t="s">
        <v>39</v>
      </c>
      <c r="G18" s="1">
        <v>850</v>
      </c>
      <c r="H18" s="1">
        <v>6.5</v>
      </c>
      <c r="I18" s="1">
        <v>4.0999999999999996</v>
      </c>
      <c r="J18" s="10" t="s">
        <v>21</v>
      </c>
      <c r="K18" s="27">
        <f>+Tabla1[[#This Row],[Unidades]]*Tabla1[[#This Row],[Precio FOB]]</f>
        <v>5525</v>
      </c>
      <c r="L18" s="27">
        <f>+Tabla1[[#This Row],[Unidades]]*Tabla1[[#This Row],[Costo Unitario]]</f>
        <v>3484.9999999999995</v>
      </c>
      <c r="M18" s="29">
        <f>+Tabla1[[#This Row],[Valor FOB (Free On Board]]-Tabla1[[#This Row],[Costo total]]</f>
        <v>2040.0000000000005</v>
      </c>
      <c r="N18">
        <f>+Tabla1[[#This Row],[Utilidad:]]/Tabla1[[#This Row],[Valor FOB (Free On Board]]</f>
        <v>0.36923076923076931</v>
      </c>
      <c r="O18" t="str">
        <f>+IF(Tabla1[[#This Row],[Valor FOB (Free On Board]]&gt;=10000, "Grande", IF(Tabla1[[#This Row],[Valor FOB (Free On Board]]&gt;=5000, "Mediano", "Pequeno"))</f>
        <v>Mediano</v>
      </c>
      <c r="P18" t="str">
        <f>VLOOKUP(Tabla1[[#This Row],[País Destino]], '3. Mercados'!$C$4:$F$9, 4, FALSE)</f>
        <v>Potencial</v>
      </c>
      <c r="Q18" t="str">
        <f>IF(AND(Tabla1[[#This Row],[Tipo de Mercado]]="Estratégico", Tabla1[[#This Row],[Margen]]&gt;=30%), "Alta", IF(AND(Tabla1[[#This Row],[Tipo de Mercado]]="Estratégico", Tabla1[[#This Row],[Margen]]&lt;30%), "Media", IF(AND(Tabla1[[#This Row],[Tipo de Mercado]]="Potencial", Tabla1[[#This Row],[Margen]]&gt;=30%), "Media", "Baja")))</f>
        <v>Media</v>
      </c>
      <c r="R18" t="str">
        <f>VLOOKUP(Tabla1[[#This Row],[País Destino]], '3. Mercados'!$C$4:$F$9, 2, FALSE)</f>
        <v>Norteamérica</v>
      </c>
    </row>
    <row r="19" spans="2:18" hidden="1" x14ac:dyDescent="0.3">
      <c r="B19" s="9" t="s">
        <v>50</v>
      </c>
      <c r="C19" s="8">
        <v>46164</v>
      </c>
      <c r="D19" s="1" t="s">
        <v>23</v>
      </c>
      <c r="E19" s="6" t="s">
        <v>33</v>
      </c>
      <c r="F19" s="1" t="s">
        <v>25</v>
      </c>
      <c r="G19" s="1">
        <v>1250</v>
      </c>
      <c r="H19" s="1">
        <v>7.1</v>
      </c>
      <c r="I19" s="1">
        <v>4.8</v>
      </c>
      <c r="J19" s="10" t="s">
        <v>26</v>
      </c>
      <c r="K19" s="1">
        <f>+Tabla1[[#This Row],[Unidades]]*Tabla1[[#This Row],[Precio FOB]]</f>
        <v>8875</v>
      </c>
      <c r="L19" s="1">
        <f>+Tabla1[[#This Row],[Unidades]]*Tabla1[[#This Row],[Costo Unitario]]</f>
        <v>6000</v>
      </c>
      <c r="M19">
        <f>+Tabla1[[#This Row],[Valor FOB (Free On Board]]-Tabla1[[#This Row],[Costo total]]</f>
        <v>2875</v>
      </c>
      <c r="N19">
        <f>+Tabla1[[#This Row],[Utilidad:]]/Tabla1[[#This Row],[Valor FOB (Free On Board]]</f>
        <v>0.323943661971831</v>
      </c>
      <c r="O19" t="str">
        <f>+IF(Tabla1[[#This Row],[Valor FOB (Free On Board]]&gt;=10000, "Grande", IF(Tabla1[[#This Row],[Valor FOB (Free On Board]]&gt;=5000, "Mediano", "Pequeno"))</f>
        <v>Mediano</v>
      </c>
      <c r="P19" t="str">
        <f>VLOOKUP(Tabla1[[#This Row],[País Destino]], '3. Mercados'!$C$4:$F$9, 4, FALSE)</f>
        <v>Estratégico</v>
      </c>
      <c r="Q19" t="str">
        <f>IF(AND(Tabla1[[#This Row],[Tipo de Mercado]]="Estratégico", Tabla1[[#This Row],[Margen]]&gt;=30%), "Alta", IF(AND(Tabla1[[#This Row],[Tipo de Mercado]]="Estratégico", Tabla1[[#This Row],[Margen]]&lt;30%), "Media", IF(AND(Tabla1[[#This Row],[Tipo de Mercado]]="Potencial", Tabla1[[#This Row],[Margen]]&gt;=30%), "Media", "Baja")))</f>
        <v>Alta</v>
      </c>
    </row>
    <row r="20" spans="2:18" hidden="1" x14ac:dyDescent="0.3">
      <c r="B20" s="9" t="s">
        <v>51</v>
      </c>
      <c r="C20" s="8">
        <v>46172</v>
      </c>
      <c r="D20" s="1" t="s">
        <v>18</v>
      </c>
      <c r="E20" s="6" t="s">
        <v>38</v>
      </c>
      <c r="F20" s="1" t="s">
        <v>20</v>
      </c>
      <c r="G20" s="1">
        <v>550</v>
      </c>
      <c r="H20" s="1">
        <v>12.5</v>
      </c>
      <c r="I20" s="1">
        <v>8.6999999999999993</v>
      </c>
      <c r="J20" s="10" t="s">
        <v>21</v>
      </c>
      <c r="K20" s="1">
        <f>+Tabla1[[#This Row],[Unidades]]*Tabla1[[#This Row],[Precio FOB]]</f>
        <v>6875</v>
      </c>
      <c r="L20" s="1">
        <f>+Tabla1[[#This Row],[Unidades]]*Tabla1[[#This Row],[Costo Unitario]]</f>
        <v>4785</v>
      </c>
      <c r="M20">
        <f>+Tabla1[[#This Row],[Valor FOB (Free On Board]]-Tabla1[[#This Row],[Costo total]]</f>
        <v>2090</v>
      </c>
      <c r="N20">
        <f>+Tabla1[[#This Row],[Utilidad:]]/Tabla1[[#This Row],[Valor FOB (Free On Board]]</f>
        <v>0.30399999999999999</v>
      </c>
      <c r="O20" t="str">
        <f>+IF(Tabla1[[#This Row],[Valor FOB (Free On Board]]&gt;=10000, "Grande", IF(Tabla1[[#This Row],[Valor FOB (Free On Board]]&gt;=5000, "Mediano", "Pequeno"))</f>
        <v>Mediano</v>
      </c>
      <c r="P20" t="str">
        <f>VLOOKUP(Tabla1[[#This Row],[País Destino]], '3. Mercados'!$C$4:$F$9, 4, FALSE)</f>
        <v>Estratégico</v>
      </c>
      <c r="Q20" t="str">
        <f>IF(AND(Tabla1[[#This Row],[Tipo de Mercado]]="Estratégico", Tabla1[[#This Row],[Margen]]&gt;=30%), "Alta", IF(AND(Tabla1[[#This Row],[Tipo de Mercado]]="Estratégico", Tabla1[[#This Row],[Margen]]&lt;30%), "Media", IF(AND(Tabla1[[#This Row],[Tipo de Mercado]]="Potencial", Tabla1[[#This Row],[Margen]]&gt;=30%), "Media", "Baja")))</f>
        <v>Alta</v>
      </c>
    </row>
    <row r="21" spans="2:18" hidden="1" x14ac:dyDescent="0.3">
      <c r="B21" s="9" t="s">
        <v>52</v>
      </c>
      <c r="C21" s="8">
        <v>46180</v>
      </c>
      <c r="D21" s="1" t="s">
        <v>28</v>
      </c>
      <c r="E21" s="6" t="s">
        <v>19</v>
      </c>
      <c r="F21" s="1" t="s">
        <v>30</v>
      </c>
      <c r="G21" s="1">
        <v>800</v>
      </c>
      <c r="H21" s="1">
        <v>4.8</v>
      </c>
      <c r="I21" s="1">
        <v>3.2</v>
      </c>
      <c r="J21" s="10" t="s">
        <v>26</v>
      </c>
      <c r="K21" s="1">
        <f>+Tabla1[[#This Row],[Unidades]]*Tabla1[[#This Row],[Precio FOB]]</f>
        <v>3840</v>
      </c>
      <c r="L21" s="1">
        <f>+Tabla1[[#This Row],[Unidades]]*Tabla1[[#This Row],[Costo Unitario]]</f>
        <v>2560</v>
      </c>
      <c r="M21">
        <f>+Tabla1[[#This Row],[Valor FOB (Free On Board]]-Tabla1[[#This Row],[Costo total]]</f>
        <v>1280</v>
      </c>
      <c r="N21">
        <f>+Tabla1[[#This Row],[Utilidad:]]/Tabla1[[#This Row],[Valor FOB (Free On Board]]</f>
        <v>0.33333333333333331</v>
      </c>
      <c r="O21" t="str">
        <f>+IF(Tabla1[[#This Row],[Valor FOB (Free On Board]]&gt;=10000, "Grande", IF(Tabla1[[#This Row],[Valor FOB (Free On Board]]&gt;=5000, "Mediano", "Pequeno"))</f>
        <v>Pequeno</v>
      </c>
      <c r="P21" t="str">
        <f>VLOOKUP(Tabla1[[#This Row],[País Destino]], '3. Mercados'!$C$4:$F$9, 4, FALSE)</f>
        <v>Estratégico</v>
      </c>
      <c r="Q21" t="str">
        <f>IF(AND(Tabla1[[#This Row],[Tipo de Mercado]]="Estratégico", Tabla1[[#This Row],[Margen]]&gt;=30%), "Alta", IF(AND(Tabla1[[#This Row],[Tipo de Mercado]]="Estratégico", Tabla1[[#This Row],[Margen]]&lt;30%), "Media", IF(AND(Tabla1[[#This Row],[Tipo de Mercado]]="Potencial", Tabla1[[#This Row],[Margen]]&gt;=30%), "Media", "Baja")))</f>
        <v>Alta</v>
      </c>
    </row>
    <row r="22" spans="2:18" hidden="1" x14ac:dyDescent="0.3">
      <c r="B22" s="9" t="s">
        <v>53</v>
      </c>
      <c r="C22" s="8">
        <v>46189</v>
      </c>
      <c r="D22" s="1" t="s">
        <v>32</v>
      </c>
      <c r="E22" s="6" t="s">
        <v>29</v>
      </c>
      <c r="F22" s="1" t="s">
        <v>34</v>
      </c>
      <c r="G22" s="1">
        <v>900</v>
      </c>
      <c r="H22" s="1">
        <v>8.1999999999999993</v>
      </c>
      <c r="I22" s="1">
        <v>5.9</v>
      </c>
      <c r="J22" s="10" t="s">
        <v>35</v>
      </c>
      <c r="K22" s="1">
        <f>+Tabla1[[#This Row],[Unidades]]*Tabla1[[#This Row],[Precio FOB]]</f>
        <v>7379.9999999999991</v>
      </c>
      <c r="L22" s="1">
        <f>+Tabla1[[#This Row],[Unidades]]*Tabla1[[#This Row],[Costo Unitario]]</f>
        <v>5310</v>
      </c>
      <c r="M22">
        <f>+Tabla1[[#This Row],[Valor FOB (Free On Board]]-Tabla1[[#This Row],[Costo total]]</f>
        <v>2069.9999999999991</v>
      </c>
      <c r="N22">
        <f>+Tabla1[[#This Row],[Utilidad:]]/Tabla1[[#This Row],[Valor FOB (Free On Board]]</f>
        <v>0.2804878048780487</v>
      </c>
      <c r="O22" t="str">
        <f>+IF(Tabla1[[#This Row],[Valor FOB (Free On Board]]&gt;=10000, "Grande", IF(Tabla1[[#This Row],[Valor FOB (Free On Board]]&gt;=5000, "Mediano", "Pequeno"))</f>
        <v>Mediano</v>
      </c>
      <c r="P22" t="str">
        <f>VLOOKUP(Tabla1[[#This Row],[País Destino]], '3. Mercados'!$C$4:$F$9, 4, FALSE)</f>
        <v>Potencial</v>
      </c>
      <c r="Q22" t="str">
        <f>IF(AND(Tabla1[[#This Row],[Tipo de Mercado]]="Estratégico", Tabla1[[#This Row],[Margen]]&gt;=30%), "Alta", IF(AND(Tabla1[[#This Row],[Tipo de Mercado]]="Estratégico", Tabla1[[#This Row],[Margen]]&lt;30%), "Media", IF(AND(Tabla1[[#This Row],[Tipo de Mercado]]="Potencial", Tabla1[[#This Row],[Margen]]&gt;=30%), "Media", "Baja")))</f>
        <v>Baja</v>
      </c>
    </row>
    <row r="23" spans="2:18" hidden="1" x14ac:dyDescent="0.3">
      <c r="B23" s="9" t="s">
        <v>54</v>
      </c>
      <c r="C23" s="8">
        <v>46198</v>
      </c>
      <c r="D23" s="1" t="s">
        <v>37</v>
      </c>
      <c r="E23" s="6" t="s">
        <v>38</v>
      </c>
      <c r="F23" s="1" t="s">
        <v>39</v>
      </c>
      <c r="G23" s="1">
        <v>650</v>
      </c>
      <c r="H23" s="1">
        <v>12.5</v>
      </c>
      <c r="I23" s="1">
        <v>8.6999999999999993</v>
      </c>
      <c r="J23" s="10" t="s">
        <v>26</v>
      </c>
      <c r="K23" s="1">
        <f>+Tabla1[[#This Row],[Unidades]]*Tabla1[[#This Row],[Precio FOB]]</f>
        <v>8125</v>
      </c>
      <c r="L23" s="1">
        <f>+Tabla1[[#This Row],[Unidades]]*Tabla1[[#This Row],[Costo Unitario]]</f>
        <v>5654.9999999999991</v>
      </c>
      <c r="M23">
        <f>+Tabla1[[#This Row],[Valor FOB (Free On Board]]-Tabla1[[#This Row],[Costo total]]</f>
        <v>2470.0000000000009</v>
      </c>
      <c r="N23">
        <f>+Tabla1[[#This Row],[Utilidad:]]/Tabla1[[#This Row],[Valor FOB (Free On Board]]</f>
        <v>0.3040000000000001</v>
      </c>
      <c r="O23" t="str">
        <f>+IF(Tabla1[[#This Row],[Valor FOB (Free On Board]]&gt;=10000, "Grande", IF(Tabla1[[#This Row],[Valor FOB (Free On Board]]&gt;=5000, "Mediano", "Pequeno"))</f>
        <v>Mediano</v>
      </c>
      <c r="P23" t="str">
        <f>VLOOKUP(Tabla1[[#This Row],[País Destino]], '3. Mercados'!$C$4:$F$9, 4, FALSE)</f>
        <v>Potencial</v>
      </c>
      <c r="Q23" t="str">
        <f>IF(AND(Tabla1[[#This Row],[Tipo de Mercado]]="Estratégico", Tabla1[[#This Row],[Margen]]&gt;=30%), "Alta", IF(AND(Tabla1[[#This Row],[Tipo de Mercado]]="Estratégico", Tabla1[[#This Row],[Margen]]&lt;30%), "Media", IF(AND(Tabla1[[#This Row],[Tipo de Mercado]]="Potencial", Tabla1[[#This Row],[Margen]]&gt;=30%), "Media", "Baja")))</f>
        <v>Media</v>
      </c>
    </row>
    <row r="24" spans="2:18" x14ac:dyDescent="0.3">
      <c r="B24" s="9" t="s">
        <v>55</v>
      </c>
      <c r="C24" s="8">
        <v>46206</v>
      </c>
      <c r="D24" s="1" t="s">
        <v>23</v>
      </c>
      <c r="E24" s="6" t="s">
        <v>24</v>
      </c>
      <c r="F24" s="1" t="s">
        <v>25</v>
      </c>
      <c r="G24" s="1">
        <v>1500</v>
      </c>
      <c r="H24" s="1">
        <v>6.5</v>
      </c>
      <c r="I24" s="1">
        <v>4.0999999999999996</v>
      </c>
      <c r="J24" s="10" t="s">
        <v>21</v>
      </c>
      <c r="K24" s="27">
        <f>+Tabla1[[#This Row],[Unidades]]*Tabla1[[#This Row],[Precio FOB]]</f>
        <v>9750</v>
      </c>
      <c r="L24" s="27">
        <f>+Tabla1[[#This Row],[Unidades]]*Tabla1[[#This Row],[Costo Unitario]]</f>
        <v>6149.9999999999991</v>
      </c>
      <c r="M24" s="29">
        <f>+Tabla1[[#This Row],[Valor FOB (Free On Board]]-Tabla1[[#This Row],[Costo total]]</f>
        <v>3600.0000000000009</v>
      </c>
      <c r="N24">
        <f>+Tabla1[[#This Row],[Utilidad:]]/Tabla1[[#This Row],[Valor FOB (Free On Board]]</f>
        <v>0.36923076923076931</v>
      </c>
      <c r="O24" t="str">
        <f>+IF(Tabla1[[#This Row],[Valor FOB (Free On Board]]&gt;=10000, "Grande", IF(Tabla1[[#This Row],[Valor FOB (Free On Board]]&gt;=5000, "Mediano", "Pequeno"))</f>
        <v>Mediano</v>
      </c>
      <c r="P24" t="str">
        <f>VLOOKUP(Tabla1[[#This Row],[País Destino]], '3. Mercados'!$C$4:$F$9, 4, FALSE)</f>
        <v>Estratégico</v>
      </c>
      <c r="Q24" t="str">
        <f>IF(AND(Tabla1[[#This Row],[Tipo de Mercado]]="Estratégico", Tabla1[[#This Row],[Margen]]&gt;=30%), "Alta", IF(AND(Tabla1[[#This Row],[Tipo de Mercado]]="Estratégico", Tabla1[[#This Row],[Margen]]&lt;30%), "Media", IF(AND(Tabla1[[#This Row],[Tipo de Mercado]]="Potencial", Tabla1[[#This Row],[Margen]]&gt;=30%), "Media", "Baja")))</f>
        <v>Alta</v>
      </c>
      <c r="R24" t="str">
        <f>VLOOKUP(Tabla1[[#This Row],[País Destino]], '3. Mercados'!$C$4:$F$9, 2, FALSE)</f>
        <v>Norteamérica</v>
      </c>
    </row>
    <row r="25" spans="2:18" hidden="1" x14ac:dyDescent="0.3">
      <c r="B25" s="9" t="s">
        <v>56</v>
      </c>
      <c r="C25" s="8">
        <v>46214</v>
      </c>
      <c r="D25" s="1" t="s">
        <v>18</v>
      </c>
      <c r="E25" s="6" t="s">
        <v>33</v>
      </c>
      <c r="F25" s="1" t="s">
        <v>20</v>
      </c>
      <c r="G25" s="1">
        <v>1000</v>
      </c>
      <c r="H25" s="1">
        <v>7.1</v>
      </c>
      <c r="I25" s="1">
        <v>4.8</v>
      </c>
      <c r="J25" s="10" t="s">
        <v>26</v>
      </c>
      <c r="K25" s="1">
        <f>+Tabla1[[#This Row],[Unidades]]*Tabla1[[#This Row],[Precio FOB]]</f>
        <v>7100</v>
      </c>
      <c r="L25" s="1">
        <f>+Tabla1[[#This Row],[Unidades]]*Tabla1[[#This Row],[Costo Unitario]]</f>
        <v>4800</v>
      </c>
      <c r="M25">
        <f>+Tabla1[[#This Row],[Valor FOB (Free On Board]]-Tabla1[[#This Row],[Costo total]]</f>
        <v>2300</v>
      </c>
      <c r="N25">
        <f>+Tabla1[[#This Row],[Utilidad:]]/Tabla1[[#This Row],[Valor FOB (Free On Board]]</f>
        <v>0.323943661971831</v>
      </c>
      <c r="O25" t="str">
        <f>+IF(Tabla1[[#This Row],[Valor FOB (Free On Board]]&gt;=10000, "Grande", IF(Tabla1[[#This Row],[Valor FOB (Free On Board]]&gt;=5000, "Mediano", "Pequeno"))</f>
        <v>Mediano</v>
      </c>
      <c r="P25" t="str">
        <f>VLOOKUP(Tabla1[[#This Row],[País Destino]], '3. Mercados'!$C$4:$F$9, 4, FALSE)</f>
        <v>Estratégico</v>
      </c>
      <c r="Q25" t="str">
        <f>IF(AND(Tabla1[[#This Row],[Tipo de Mercado]]="Estratégico", Tabla1[[#This Row],[Margen]]&gt;=30%), "Alta", IF(AND(Tabla1[[#This Row],[Tipo de Mercado]]="Estratégico", Tabla1[[#This Row],[Margen]]&lt;30%), "Media", IF(AND(Tabla1[[#This Row],[Tipo de Mercado]]="Potencial", Tabla1[[#This Row],[Margen]]&gt;=30%), "Media", "Baja")))</f>
        <v>Alta</v>
      </c>
    </row>
    <row r="26" spans="2:18" hidden="1" x14ac:dyDescent="0.3">
      <c r="B26" s="9" t="s">
        <v>57</v>
      </c>
      <c r="C26" s="8">
        <v>46222</v>
      </c>
      <c r="D26" s="1" t="s">
        <v>28</v>
      </c>
      <c r="E26" s="6" t="s">
        <v>29</v>
      </c>
      <c r="F26" s="1" t="s">
        <v>30</v>
      </c>
      <c r="G26" s="1">
        <v>720</v>
      </c>
      <c r="H26" s="1">
        <v>8.1999999999999993</v>
      </c>
      <c r="I26" s="1">
        <v>5.9</v>
      </c>
      <c r="J26" s="10" t="s">
        <v>21</v>
      </c>
      <c r="K26" s="1">
        <f>+Tabla1[[#This Row],[Unidades]]*Tabla1[[#This Row],[Precio FOB]]</f>
        <v>5903.9999999999991</v>
      </c>
      <c r="L26" s="1">
        <f>+Tabla1[[#This Row],[Unidades]]*Tabla1[[#This Row],[Costo Unitario]]</f>
        <v>4248</v>
      </c>
      <c r="M26">
        <f>+Tabla1[[#This Row],[Valor FOB (Free On Board]]-Tabla1[[#This Row],[Costo total]]</f>
        <v>1655.9999999999991</v>
      </c>
      <c r="N26">
        <f>+Tabla1[[#This Row],[Utilidad:]]/Tabla1[[#This Row],[Valor FOB (Free On Board]]</f>
        <v>0.2804878048780487</v>
      </c>
      <c r="O26" t="str">
        <f>+IF(Tabla1[[#This Row],[Valor FOB (Free On Board]]&gt;=10000, "Grande", IF(Tabla1[[#This Row],[Valor FOB (Free On Board]]&gt;=5000, "Mediano", "Pequeno"))</f>
        <v>Mediano</v>
      </c>
      <c r="P26" t="str">
        <f>VLOOKUP(Tabla1[[#This Row],[País Destino]], '3. Mercados'!$C$4:$F$9, 4, FALSE)</f>
        <v>Estratégico</v>
      </c>
      <c r="Q26" t="str">
        <f>IF(AND(Tabla1[[#This Row],[Tipo de Mercado]]="Estratégico", Tabla1[[#This Row],[Margen]]&gt;=30%), "Alta", IF(AND(Tabla1[[#This Row],[Tipo de Mercado]]="Estratégico", Tabla1[[#This Row],[Margen]]&lt;30%), "Media", IF(AND(Tabla1[[#This Row],[Tipo de Mercado]]="Potencial", Tabla1[[#This Row],[Margen]]&gt;=30%), "Media", "Baja")))</f>
        <v>Media</v>
      </c>
    </row>
    <row r="27" spans="2:18" hidden="1" x14ac:dyDescent="0.3">
      <c r="B27" s="9" t="s">
        <v>58</v>
      </c>
      <c r="C27" s="8">
        <v>46231</v>
      </c>
      <c r="D27" s="1" t="s">
        <v>32</v>
      </c>
      <c r="E27" s="6" t="s">
        <v>19</v>
      </c>
      <c r="F27" s="1" t="s">
        <v>34</v>
      </c>
      <c r="G27" s="1">
        <v>1150</v>
      </c>
      <c r="H27" s="1">
        <v>4.8</v>
      </c>
      <c r="I27" s="1">
        <v>3.2</v>
      </c>
      <c r="J27" s="10" t="s">
        <v>26</v>
      </c>
      <c r="K27" s="1">
        <f>+Tabla1[[#This Row],[Unidades]]*Tabla1[[#This Row],[Precio FOB]]</f>
        <v>5520</v>
      </c>
      <c r="L27" s="1">
        <f>+Tabla1[[#This Row],[Unidades]]*Tabla1[[#This Row],[Costo Unitario]]</f>
        <v>3680</v>
      </c>
      <c r="M27">
        <f>+Tabla1[[#This Row],[Valor FOB (Free On Board]]-Tabla1[[#This Row],[Costo total]]</f>
        <v>1840</v>
      </c>
      <c r="N27">
        <f>+Tabla1[[#This Row],[Utilidad:]]/Tabla1[[#This Row],[Valor FOB (Free On Board]]</f>
        <v>0.33333333333333331</v>
      </c>
      <c r="O27" t="str">
        <f>+IF(Tabla1[[#This Row],[Valor FOB (Free On Board]]&gt;=10000, "Grande", IF(Tabla1[[#This Row],[Valor FOB (Free On Board]]&gt;=5000, "Mediano", "Pequeno"))</f>
        <v>Mediano</v>
      </c>
      <c r="P27" t="str">
        <f>VLOOKUP(Tabla1[[#This Row],[País Destino]], '3. Mercados'!$C$4:$F$9, 4, FALSE)</f>
        <v>Potencial</v>
      </c>
      <c r="Q27" t="str">
        <f>IF(AND(Tabla1[[#This Row],[Tipo de Mercado]]="Estratégico", Tabla1[[#This Row],[Margen]]&gt;=30%), "Alta", IF(AND(Tabla1[[#This Row],[Tipo de Mercado]]="Estratégico", Tabla1[[#This Row],[Margen]]&lt;30%), "Media", IF(AND(Tabla1[[#This Row],[Tipo de Mercado]]="Potencial", Tabla1[[#This Row],[Margen]]&gt;=30%), "Media", "Baja")))</f>
        <v>Media</v>
      </c>
    </row>
    <row r="28" spans="2:18" x14ac:dyDescent="0.3">
      <c r="B28" s="9" t="s">
        <v>59</v>
      </c>
      <c r="C28" s="8">
        <v>46239</v>
      </c>
      <c r="D28" s="1" t="s">
        <v>37</v>
      </c>
      <c r="E28" s="6" t="s">
        <v>24</v>
      </c>
      <c r="F28" s="1" t="s">
        <v>39</v>
      </c>
      <c r="G28" s="1">
        <v>950</v>
      </c>
      <c r="H28" s="1">
        <v>6.5</v>
      </c>
      <c r="I28" s="1">
        <v>4.0999999999999996</v>
      </c>
      <c r="J28" s="10" t="s">
        <v>35</v>
      </c>
      <c r="K28" s="27">
        <f>+Tabla1[[#This Row],[Unidades]]*Tabla1[[#This Row],[Precio FOB]]</f>
        <v>6175</v>
      </c>
      <c r="L28" s="27">
        <f>+Tabla1[[#This Row],[Unidades]]*Tabla1[[#This Row],[Costo Unitario]]</f>
        <v>3894.9999999999995</v>
      </c>
      <c r="M28" s="29">
        <f>+Tabla1[[#This Row],[Valor FOB (Free On Board]]-Tabla1[[#This Row],[Costo total]]</f>
        <v>2280.0000000000005</v>
      </c>
      <c r="N28">
        <f>+Tabla1[[#This Row],[Utilidad:]]/Tabla1[[#This Row],[Valor FOB (Free On Board]]</f>
        <v>0.36923076923076931</v>
      </c>
      <c r="O28" t="str">
        <f>+IF(Tabla1[[#This Row],[Valor FOB (Free On Board]]&gt;=10000, "Grande", IF(Tabla1[[#This Row],[Valor FOB (Free On Board]]&gt;=5000, "Mediano", "Pequeno"))</f>
        <v>Mediano</v>
      </c>
      <c r="P28" t="str">
        <f>VLOOKUP(Tabla1[[#This Row],[País Destino]], '3. Mercados'!$C$4:$F$9, 4, FALSE)</f>
        <v>Potencial</v>
      </c>
      <c r="Q28" t="str">
        <f>IF(AND(Tabla1[[#This Row],[Tipo de Mercado]]="Estratégico", Tabla1[[#This Row],[Margen]]&gt;=30%), "Alta", IF(AND(Tabla1[[#This Row],[Tipo de Mercado]]="Estratégico", Tabla1[[#This Row],[Margen]]&lt;30%), "Media", IF(AND(Tabla1[[#This Row],[Tipo de Mercado]]="Potencial", Tabla1[[#This Row],[Margen]]&gt;=30%), "Media", "Baja")))</f>
        <v>Media</v>
      </c>
      <c r="R28" t="str">
        <f>VLOOKUP(Tabla1[[#This Row],[País Destino]], '3. Mercados'!$C$4:$F$9, 2, FALSE)</f>
        <v>Norteamérica</v>
      </c>
    </row>
    <row r="29" spans="2:18" hidden="1" x14ac:dyDescent="0.3">
      <c r="B29" s="9" t="s">
        <v>60</v>
      </c>
      <c r="C29" s="8">
        <v>46247</v>
      </c>
      <c r="D29" s="1" t="s">
        <v>23</v>
      </c>
      <c r="E29" s="6" t="s">
        <v>38</v>
      </c>
      <c r="F29" s="1" t="s">
        <v>25</v>
      </c>
      <c r="G29" s="1">
        <v>700</v>
      </c>
      <c r="H29" s="1">
        <v>12.5</v>
      </c>
      <c r="I29" s="1">
        <v>8.6999999999999993</v>
      </c>
      <c r="J29" s="10" t="s">
        <v>26</v>
      </c>
      <c r="K29" s="1">
        <f>+Tabla1[[#This Row],[Unidades]]*Tabla1[[#This Row],[Precio FOB]]</f>
        <v>8750</v>
      </c>
      <c r="L29" s="1">
        <f>+Tabla1[[#This Row],[Unidades]]*Tabla1[[#This Row],[Costo Unitario]]</f>
        <v>6089.9999999999991</v>
      </c>
      <c r="M29">
        <f>+Tabla1[[#This Row],[Valor FOB (Free On Board]]-Tabla1[[#This Row],[Costo total]]</f>
        <v>2660.0000000000009</v>
      </c>
      <c r="N29">
        <f>+Tabla1[[#This Row],[Utilidad:]]/Tabla1[[#This Row],[Valor FOB (Free On Board]]</f>
        <v>0.3040000000000001</v>
      </c>
      <c r="O29" t="str">
        <f>+IF(Tabla1[[#This Row],[Valor FOB (Free On Board]]&gt;=10000, "Grande", IF(Tabla1[[#This Row],[Valor FOB (Free On Board]]&gt;=5000, "Mediano", "Pequeno"))</f>
        <v>Mediano</v>
      </c>
      <c r="P29" t="str">
        <f>VLOOKUP(Tabla1[[#This Row],[País Destino]], '3. Mercados'!$C$4:$F$9, 4, FALSE)</f>
        <v>Estratégico</v>
      </c>
      <c r="Q29" t="str">
        <f>IF(AND(Tabla1[[#This Row],[Tipo de Mercado]]="Estratégico", Tabla1[[#This Row],[Margen]]&gt;=30%), "Alta", IF(AND(Tabla1[[#This Row],[Tipo de Mercado]]="Estratégico", Tabla1[[#This Row],[Margen]]&lt;30%), "Media", IF(AND(Tabla1[[#This Row],[Tipo de Mercado]]="Potencial", Tabla1[[#This Row],[Margen]]&gt;=30%), "Media", "Baja")))</f>
        <v>Alta</v>
      </c>
    </row>
    <row r="30" spans="2:18" hidden="1" x14ac:dyDescent="0.3">
      <c r="B30" s="9" t="s">
        <v>61</v>
      </c>
      <c r="C30" s="8">
        <v>46255</v>
      </c>
      <c r="D30" s="1" t="s">
        <v>18</v>
      </c>
      <c r="E30" s="6" t="s">
        <v>19</v>
      </c>
      <c r="F30" s="1" t="s">
        <v>20</v>
      </c>
      <c r="G30" s="1">
        <v>1050</v>
      </c>
      <c r="H30" s="1">
        <v>4.8</v>
      </c>
      <c r="I30" s="1">
        <v>3.2</v>
      </c>
      <c r="J30" s="10" t="s">
        <v>21</v>
      </c>
      <c r="K30" s="1">
        <f>+Tabla1[[#This Row],[Unidades]]*Tabla1[[#This Row],[Precio FOB]]</f>
        <v>5040</v>
      </c>
      <c r="L30" s="1">
        <f>+Tabla1[[#This Row],[Unidades]]*Tabla1[[#This Row],[Costo Unitario]]</f>
        <v>3360</v>
      </c>
      <c r="M30">
        <f>+Tabla1[[#This Row],[Valor FOB (Free On Board]]-Tabla1[[#This Row],[Costo total]]</f>
        <v>1680</v>
      </c>
      <c r="N30">
        <f>+Tabla1[[#This Row],[Utilidad:]]/Tabla1[[#This Row],[Valor FOB (Free On Board]]</f>
        <v>0.33333333333333331</v>
      </c>
      <c r="O30" t="str">
        <f>+IF(Tabla1[[#This Row],[Valor FOB (Free On Board]]&gt;=10000, "Grande", IF(Tabla1[[#This Row],[Valor FOB (Free On Board]]&gt;=5000, "Mediano", "Pequeno"))</f>
        <v>Mediano</v>
      </c>
      <c r="P30" t="str">
        <f>VLOOKUP(Tabla1[[#This Row],[País Destino]], '3. Mercados'!$C$4:$F$9, 4, FALSE)</f>
        <v>Estratégico</v>
      </c>
      <c r="Q30" t="str">
        <f>IF(AND(Tabla1[[#This Row],[Tipo de Mercado]]="Estratégico", Tabla1[[#This Row],[Margen]]&gt;=30%), "Alta", IF(AND(Tabla1[[#This Row],[Tipo de Mercado]]="Estratégico", Tabla1[[#This Row],[Margen]]&lt;30%), "Media", IF(AND(Tabla1[[#This Row],[Tipo de Mercado]]="Potencial", Tabla1[[#This Row],[Margen]]&gt;=30%), "Media", "Baja")))</f>
        <v>Alta</v>
      </c>
    </row>
    <row r="31" spans="2:18" hidden="1" x14ac:dyDescent="0.3">
      <c r="B31" s="9" t="s">
        <v>62</v>
      </c>
      <c r="C31" s="8">
        <v>46263</v>
      </c>
      <c r="D31" s="1" t="s">
        <v>28</v>
      </c>
      <c r="E31" s="6" t="s">
        <v>33</v>
      </c>
      <c r="F31" s="1" t="s">
        <v>30</v>
      </c>
      <c r="G31" s="1">
        <v>850</v>
      </c>
      <c r="H31" s="1">
        <v>7.1</v>
      </c>
      <c r="I31" s="1">
        <v>4.8</v>
      </c>
      <c r="J31" s="10" t="s">
        <v>26</v>
      </c>
      <c r="K31" s="1">
        <f>+Tabla1[[#This Row],[Unidades]]*Tabla1[[#This Row],[Precio FOB]]</f>
        <v>6035</v>
      </c>
      <c r="L31" s="1">
        <f>+Tabla1[[#This Row],[Unidades]]*Tabla1[[#This Row],[Costo Unitario]]</f>
        <v>4080</v>
      </c>
      <c r="M31">
        <f>+Tabla1[[#This Row],[Valor FOB (Free On Board]]-Tabla1[[#This Row],[Costo total]]</f>
        <v>1955</v>
      </c>
      <c r="N31">
        <f>+Tabla1[[#This Row],[Utilidad:]]/Tabla1[[#This Row],[Valor FOB (Free On Board]]</f>
        <v>0.323943661971831</v>
      </c>
      <c r="O31" t="str">
        <f>+IF(Tabla1[[#This Row],[Valor FOB (Free On Board]]&gt;=10000, "Grande", IF(Tabla1[[#This Row],[Valor FOB (Free On Board]]&gt;=5000, "Mediano", "Pequeno"))</f>
        <v>Mediano</v>
      </c>
      <c r="P31" t="str">
        <f>VLOOKUP(Tabla1[[#This Row],[País Destino]], '3. Mercados'!$C$4:$F$9, 4, FALSE)</f>
        <v>Estratégico</v>
      </c>
      <c r="Q31" t="str">
        <f>IF(AND(Tabla1[[#This Row],[Tipo de Mercado]]="Estratégico", Tabla1[[#This Row],[Margen]]&gt;=30%), "Alta", IF(AND(Tabla1[[#This Row],[Tipo de Mercado]]="Estratégico", Tabla1[[#This Row],[Margen]]&lt;30%), "Media", IF(AND(Tabla1[[#This Row],[Tipo de Mercado]]="Potencial", Tabla1[[#This Row],[Margen]]&gt;=30%), "Media", "Baja")))</f>
        <v>Alta</v>
      </c>
    </row>
    <row r="32" spans="2:18" x14ac:dyDescent="0.3">
      <c r="B32" s="9" t="s">
        <v>63</v>
      </c>
      <c r="C32" s="8">
        <v>46269</v>
      </c>
      <c r="D32" s="1" t="s">
        <v>32</v>
      </c>
      <c r="E32" s="6" t="s">
        <v>24</v>
      </c>
      <c r="F32" s="1" t="s">
        <v>34</v>
      </c>
      <c r="G32" s="1">
        <v>1200</v>
      </c>
      <c r="H32" s="1">
        <v>6.5</v>
      </c>
      <c r="I32" s="1">
        <v>4.0999999999999996</v>
      </c>
      <c r="J32" s="10" t="s">
        <v>21</v>
      </c>
      <c r="K32" s="27">
        <f>+Tabla1[[#This Row],[Unidades]]*Tabla1[[#This Row],[Precio FOB]]</f>
        <v>7800</v>
      </c>
      <c r="L32" s="27">
        <f>+Tabla1[[#This Row],[Unidades]]*Tabla1[[#This Row],[Costo Unitario]]</f>
        <v>4920</v>
      </c>
      <c r="M32" s="29">
        <f>+Tabla1[[#This Row],[Valor FOB (Free On Board]]-Tabla1[[#This Row],[Costo total]]</f>
        <v>2880</v>
      </c>
      <c r="N32">
        <f>+Tabla1[[#This Row],[Utilidad:]]/Tabla1[[#This Row],[Valor FOB (Free On Board]]</f>
        <v>0.36923076923076925</v>
      </c>
      <c r="O32" t="str">
        <f>+IF(Tabla1[[#This Row],[Valor FOB (Free On Board]]&gt;=10000, "Grande", IF(Tabla1[[#This Row],[Valor FOB (Free On Board]]&gt;=5000, "Mediano", "Pequeno"))</f>
        <v>Mediano</v>
      </c>
      <c r="P32" t="str">
        <f>VLOOKUP(Tabla1[[#This Row],[País Destino]], '3. Mercados'!$C$4:$F$9, 4, FALSE)</f>
        <v>Potencial</v>
      </c>
      <c r="Q32" t="str">
        <f>IF(AND(Tabla1[[#This Row],[Tipo de Mercado]]="Estratégico", Tabla1[[#This Row],[Margen]]&gt;=30%), "Alta", IF(AND(Tabla1[[#This Row],[Tipo de Mercado]]="Estratégico", Tabla1[[#This Row],[Margen]]&lt;30%), "Media", IF(AND(Tabla1[[#This Row],[Tipo de Mercado]]="Potencial", Tabla1[[#This Row],[Margen]]&gt;=30%), "Media", "Baja")))</f>
        <v>Media</v>
      </c>
      <c r="R32" t="str">
        <f>VLOOKUP(Tabla1[[#This Row],[País Destino]], '3. Mercados'!$C$4:$F$9, 2, FALSE)</f>
        <v>Europa</v>
      </c>
    </row>
    <row r="33" spans="2:18" hidden="1" x14ac:dyDescent="0.3">
      <c r="B33" s="9" t="s">
        <v>64</v>
      </c>
      <c r="C33" s="8">
        <v>46277</v>
      </c>
      <c r="D33" s="1" t="s">
        <v>37</v>
      </c>
      <c r="E33" s="6" t="s">
        <v>29</v>
      </c>
      <c r="F33" s="1" t="s">
        <v>39</v>
      </c>
      <c r="G33" s="1">
        <v>600</v>
      </c>
      <c r="H33" s="1">
        <v>8.1999999999999993</v>
      </c>
      <c r="I33" s="1">
        <v>5.9</v>
      </c>
      <c r="J33" s="10" t="s">
        <v>26</v>
      </c>
      <c r="K33" s="1">
        <f>+Tabla1[[#This Row],[Unidades]]*Tabla1[[#This Row],[Precio FOB]]</f>
        <v>4920</v>
      </c>
      <c r="L33" s="1">
        <f>+Tabla1[[#This Row],[Unidades]]*Tabla1[[#This Row],[Costo Unitario]]</f>
        <v>3540</v>
      </c>
      <c r="M33">
        <f>+Tabla1[[#This Row],[Valor FOB (Free On Board]]-Tabla1[[#This Row],[Costo total]]</f>
        <v>1380</v>
      </c>
      <c r="N33">
        <f>+Tabla1[[#This Row],[Utilidad:]]/Tabla1[[#This Row],[Valor FOB (Free On Board]]</f>
        <v>0.28048780487804881</v>
      </c>
      <c r="O33" t="str">
        <f>+IF(Tabla1[[#This Row],[Valor FOB (Free On Board]]&gt;=10000, "Grande", IF(Tabla1[[#This Row],[Valor FOB (Free On Board]]&gt;=5000, "Mediano", "Pequeno"))</f>
        <v>Pequeno</v>
      </c>
      <c r="P33" t="str">
        <f>VLOOKUP(Tabla1[[#This Row],[País Destino]], '3. Mercados'!$C$4:$F$9, 4, FALSE)</f>
        <v>Potencial</v>
      </c>
      <c r="Q33" t="str">
        <f>IF(AND(Tabla1[[#This Row],[Tipo de Mercado]]="Estratégico", Tabla1[[#This Row],[Margen]]&gt;=30%), "Alta", IF(AND(Tabla1[[#This Row],[Tipo de Mercado]]="Estratégico", Tabla1[[#This Row],[Margen]]&lt;30%), "Media", IF(AND(Tabla1[[#This Row],[Tipo de Mercado]]="Potencial", Tabla1[[#This Row],[Margen]]&gt;=30%), "Media", "Baja")))</f>
        <v>Baja</v>
      </c>
    </row>
    <row r="34" spans="2:18" hidden="1" x14ac:dyDescent="0.3">
      <c r="B34" s="9" t="s">
        <v>65</v>
      </c>
      <c r="C34" s="8">
        <v>46285</v>
      </c>
      <c r="D34" s="1" t="s">
        <v>23</v>
      </c>
      <c r="E34" s="6" t="s">
        <v>19</v>
      </c>
      <c r="F34" s="1" t="s">
        <v>25</v>
      </c>
      <c r="G34" s="1">
        <v>1350</v>
      </c>
      <c r="H34" s="1">
        <v>4.8</v>
      </c>
      <c r="I34" s="1">
        <v>3.2</v>
      </c>
      <c r="J34" s="10" t="s">
        <v>26</v>
      </c>
      <c r="K34" s="1">
        <f>+Tabla1[[#This Row],[Unidades]]*Tabla1[[#This Row],[Precio FOB]]</f>
        <v>6480</v>
      </c>
      <c r="L34" s="1">
        <f>+Tabla1[[#This Row],[Unidades]]*Tabla1[[#This Row],[Costo Unitario]]</f>
        <v>4320</v>
      </c>
      <c r="M34">
        <f>+Tabla1[[#This Row],[Valor FOB (Free On Board]]-Tabla1[[#This Row],[Costo total]]</f>
        <v>2160</v>
      </c>
      <c r="N34">
        <f>+Tabla1[[#This Row],[Utilidad:]]/Tabla1[[#This Row],[Valor FOB (Free On Board]]</f>
        <v>0.33333333333333331</v>
      </c>
      <c r="O34" t="str">
        <f>+IF(Tabla1[[#This Row],[Valor FOB (Free On Board]]&gt;=10000, "Grande", IF(Tabla1[[#This Row],[Valor FOB (Free On Board]]&gt;=5000, "Mediano", "Pequeno"))</f>
        <v>Mediano</v>
      </c>
      <c r="P34" t="str">
        <f>VLOOKUP(Tabla1[[#This Row],[País Destino]], '3. Mercados'!$C$4:$F$9, 4, FALSE)</f>
        <v>Estratégico</v>
      </c>
      <c r="Q34" t="str">
        <f>IF(AND(Tabla1[[#This Row],[Tipo de Mercado]]="Estratégico", Tabla1[[#This Row],[Margen]]&gt;=30%), "Alta", IF(AND(Tabla1[[#This Row],[Tipo de Mercado]]="Estratégico", Tabla1[[#This Row],[Margen]]&lt;30%), "Media", IF(AND(Tabla1[[#This Row],[Tipo de Mercado]]="Potencial", Tabla1[[#This Row],[Margen]]&gt;=30%), "Media", "Baja")))</f>
        <v>Alta</v>
      </c>
    </row>
    <row r="35" spans="2:18" hidden="1" x14ac:dyDescent="0.3">
      <c r="B35" s="9" t="s">
        <v>66</v>
      </c>
      <c r="C35" s="8">
        <v>46293</v>
      </c>
      <c r="D35" s="1" t="s">
        <v>18</v>
      </c>
      <c r="E35" s="6" t="s">
        <v>38</v>
      </c>
      <c r="F35" s="1" t="s">
        <v>20</v>
      </c>
      <c r="G35" s="1">
        <v>500</v>
      </c>
      <c r="H35" s="1">
        <v>12.5</v>
      </c>
      <c r="I35" s="1">
        <v>8.6999999999999993</v>
      </c>
      <c r="J35" s="10" t="s">
        <v>35</v>
      </c>
      <c r="K35" s="1">
        <f>+Tabla1[[#This Row],[Unidades]]*Tabla1[[#This Row],[Precio FOB]]</f>
        <v>6250</v>
      </c>
      <c r="L35" s="1">
        <f>+Tabla1[[#This Row],[Unidades]]*Tabla1[[#This Row],[Costo Unitario]]</f>
        <v>4350</v>
      </c>
      <c r="M35">
        <f>+Tabla1[[#This Row],[Valor FOB (Free On Board]]-Tabla1[[#This Row],[Costo total]]</f>
        <v>1900</v>
      </c>
      <c r="N35">
        <f>+Tabla1[[#This Row],[Utilidad:]]/Tabla1[[#This Row],[Valor FOB (Free On Board]]</f>
        <v>0.30399999999999999</v>
      </c>
      <c r="O35" t="str">
        <f>+IF(Tabla1[[#This Row],[Valor FOB (Free On Board]]&gt;=10000, "Grande", IF(Tabla1[[#This Row],[Valor FOB (Free On Board]]&gt;=5000, "Mediano", "Pequeno"))</f>
        <v>Mediano</v>
      </c>
      <c r="P35" t="str">
        <f>VLOOKUP(Tabla1[[#This Row],[País Destino]], '3. Mercados'!$C$4:$F$9, 4, FALSE)</f>
        <v>Estratégico</v>
      </c>
      <c r="Q35" t="str">
        <f>IF(AND(Tabla1[[#This Row],[Tipo de Mercado]]="Estratégico", Tabla1[[#This Row],[Margen]]&gt;=30%), "Alta", IF(AND(Tabla1[[#This Row],[Tipo de Mercado]]="Estratégico", Tabla1[[#This Row],[Margen]]&lt;30%), "Media", IF(AND(Tabla1[[#This Row],[Tipo de Mercado]]="Potencial", Tabla1[[#This Row],[Margen]]&gt;=30%), "Media", "Baja")))</f>
        <v>Alta</v>
      </c>
    </row>
    <row r="36" spans="2:18" x14ac:dyDescent="0.3">
      <c r="B36" s="9" t="s">
        <v>67</v>
      </c>
      <c r="C36" s="8">
        <v>46301</v>
      </c>
      <c r="D36" s="1" t="s">
        <v>28</v>
      </c>
      <c r="E36" s="6" t="s">
        <v>24</v>
      </c>
      <c r="F36" s="1" t="s">
        <v>30</v>
      </c>
      <c r="G36" s="1">
        <v>950</v>
      </c>
      <c r="H36" s="1">
        <v>6.5</v>
      </c>
      <c r="I36" s="1">
        <v>4.0999999999999996</v>
      </c>
      <c r="J36" s="10" t="s">
        <v>21</v>
      </c>
      <c r="K36" s="27">
        <f>+Tabla1[[#This Row],[Unidades]]*Tabla1[[#This Row],[Precio FOB]]</f>
        <v>6175</v>
      </c>
      <c r="L36" s="27">
        <f>+Tabla1[[#This Row],[Unidades]]*Tabla1[[#This Row],[Costo Unitario]]</f>
        <v>3894.9999999999995</v>
      </c>
      <c r="M36" s="29">
        <f>+Tabla1[[#This Row],[Valor FOB (Free On Board]]-Tabla1[[#This Row],[Costo total]]</f>
        <v>2280.0000000000005</v>
      </c>
      <c r="N36">
        <f>+Tabla1[[#This Row],[Utilidad:]]/Tabla1[[#This Row],[Valor FOB (Free On Board]]</f>
        <v>0.36923076923076931</v>
      </c>
      <c r="O36" t="str">
        <f>+IF(Tabla1[[#This Row],[Valor FOB (Free On Board]]&gt;=10000, "Grande", IF(Tabla1[[#This Row],[Valor FOB (Free On Board]]&gt;=5000, "Mediano", "Pequeno"))</f>
        <v>Mediano</v>
      </c>
      <c r="P36" t="str">
        <f>VLOOKUP(Tabla1[[#This Row],[País Destino]], '3. Mercados'!$C$4:$F$9, 4, FALSE)</f>
        <v>Estratégico</v>
      </c>
      <c r="Q36" t="str">
        <f>IF(AND(Tabla1[[#This Row],[Tipo de Mercado]]="Estratégico", Tabla1[[#This Row],[Margen]]&gt;=30%), "Alta", IF(AND(Tabla1[[#This Row],[Tipo de Mercado]]="Estratégico", Tabla1[[#This Row],[Margen]]&lt;30%), "Media", IF(AND(Tabla1[[#This Row],[Tipo de Mercado]]="Potencial", Tabla1[[#This Row],[Margen]]&gt;=30%), "Media", "Baja")))</f>
        <v>Alta</v>
      </c>
      <c r="R36" t="str">
        <f>VLOOKUP(Tabla1[[#This Row],[País Destino]], '3. Mercados'!$C$4:$F$9, 2, FALSE)</f>
        <v>Centroamérica</v>
      </c>
    </row>
    <row r="37" spans="2:18" hidden="1" x14ac:dyDescent="0.3">
      <c r="B37" s="9" t="s">
        <v>68</v>
      </c>
      <c r="C37" s="8">
        <v>46309</v>
      </c>
      <c r="D37" s="1" t="s">
        <v>32</v>
      </c>
      <c r="E37" s="6" t="s">
        <v>33</v>
      </c>
      <c r="F37" s="1" t="s">
        <v>34</v>
      </c>
      <c r="G37" s="1">
        <v>1050</v>
      </c>
      <c r="H37" s="1">
        <v>7.1</v>
      </c>
      <c r="I37" s="1">
        <v>4.8</v>
      </c>
      <c r="J37" s="10" t="s">
        <v>26</v>
      </c>
      <c r="K37" s="1">
        <f>+Tabla1[[#This Row],[Unidades]]*Tabla1[[#This Row],[Precio FOB]]</f>
        <v>7455</v>
      </c>
      <c r="L37" s="1">
        <f>+Tabla1[[#This Row],[Unidades]]*Tabla1[[#This Row],[Costo Unitario]]</f>
        <v>5040</v>
      </c>
      <c r="M37">
        <f>+Tabla1[[#This Row],[Valor FOB (Free On Board]]-Tabla1[[#This Row],[Costo total]]</f>
        <v>2415</v>
      </c>
      <c r="N37">
        <f>+Tabla1[[#This Row],[Utilidad:]]/Tabla1[[#This Row],[Valor FOB (Free On Board]]</f>
        <v>0.323943661971831</v>
      </c>
      <c r="O37" t="str">
        <f>+IF(Tabla1[[#This Row],[Valor FOB (Free On Board]]&gt;=10000, "Grande", IF(Tabla1[[#This Row],[Valor FOB (Free On Board]]&gt;=5000, "Mediano", "Pequeno"))</f>
        <v>Mediano</v>
      </c>
      <c r="P37" t="str">
        <f>VLOOKUP(Tabla1[[#This Row],[País Destino]], '3. Mercados'!$C$4:$F$9, 4, FALSE)</f>
        <v>Potencial</v>
      </c>
      <c r="Q37" t="str">
        <f>IF(AND(Tabla1[[#This Row],[Tipo de Mercado]]="Estratégico", Tabla1[[#This Row],[Margen]]&gt;=30%), "Alta", IF(AND(Tabla1[[#This Row],[Tipo de Mercado]]="Estratégico", Tabla1[[#This Row],[Margen]]&lt;30%), "Media", IF(AND(Tabla1[[#This Row],[Tipo de Mercado]]="Potencial", Tabla1[[#This Row],[Margen]]&gt;=30%), "Media", "Baja")))</f>
        <v>Media</v>
      </c>
    </row>
    <row r="38" spans="2:18" hidden="1" x14ac:dyDescent="0.3">
      <c r="B38" s="9" t="s">
        <v>69</v>
      </c>
      <c r="C38" s="8">
        <v>46317</v>
      </c>
      <c r="D38" s="1" t="s">
        <v>37</v>
      </c>
      <c r="E38" s="6" t="s">
        <v>19</v>
      </c>
      <c r="F38" s="1" t="s">
        <v>39</v>
      </c>
      <c r="G38" s="1">
        <v>750</v>
      </c>
      <c r="H38" s="1">
        <v>4.8</v>
      </c>
      <c r="I38" s="1">
        <v>3.2</v>
      </c>
      <c r="J38" s="10" t="s">
        <v>21</v>
      </c>
      <c r="K38" s="1">
        <f>+Tabla1[[#This Row],[Unidades]]*Tabla1[[#This Row],[Precio FOB]]</f>
        <v>3600</v>
      </c>
      <c r="L38" s="1">
        <f>+Tabla1[[#This Row],[Unidades]]*Tabla1[[#This Row],[Costo Unitario]]</f>
        <v>2400</v>
      </c>
      <c r="M38">
        <f>+Tabla1[[#This Row],[Valor FOB (Free On Board]]-Tabla1[[#This Row],[Costo total]]</f>
        <v>1200</v>
      </c>
      <c r="N38">
        <f>+Tabla1[[#This Row],[Utilidad:]]/Tabla1[[#This Row],[Valor FOB (Free On Board]]</f>
        <v>0.33333333333333331</v>
      </c>
      <c r="O38" t="str">
        <f>+IF(Tabla1[[#This Row],[Valor FOB (Free On Board]]&gt;=10000, "Grande", IF(Tabla1[[#This Row],[Valor FOB (Free On Board]]&gt;=5000, "Mediano", "Pequeno"))</f>
        <v>Pequeno</v>
      </c>
      <c r="P38" t="str">
        <f>VLOOKUP(Tabla1[[#This Row],[País Destino]], '3. Mercados'!$C$4:$F$9, 4, FALSE)</f>
        <v>Potencial</v>
      </c>
      <c r="Q38" t="str">
        <f>IF(AND(Tabla1[[#This Row],[Tipo de Mercado]]="Estratégico", Tabla1[[#This Row],[Margen]]&gt;=30%), "Alta", IF(AND(Tabla1[[#This Row],[Tipo de Mercado]]="Estratégico", Tabla1[[#This Row],[Margen]]&lt;30%), "Media", IF(AND(Tabla1[[#This Row],[Tipo de Mercado]]="Potencial", Tabla1[[#This Row],[Margen]]&gt;=30%), "Media", "Baja")))</f>
        <v>Media</v>
      </c>
    </row>
    <row r="39" spans="2:18" hidden="1" x14ac:dyDescent="0.3">
      <c r="B39" s="9" t="s">
        <v>70</v>
      </c>
      <c r="C39" s="8">
        <v>46325</v>
      </c>
      <c r="D39" s="1" t="s">
        <v>23</v>
      </c>
      <c r="E39" s="6" t="s">
        <v>29</v>
      </c>
      <c r="F39" s="1" t="s">
        <v>25</v>
      </c>
      <c r="G39" s="1">
        <v>900</v>
      </c>
      <c r="H39" s="1">
        <v>8.1999999999999993</v>
      </c>
      <c r="I39" s="1">
        <v>5.9</v>
      </c>
      <c r="J39" s="10" t="s">
        <v>26</v>
      </c>
      <c r="K39" s="1">
        <f>+Tabla1[[#This Row],[Unidades]]*Tabla1[[#This Row],[Precio FOB]]</f>
        <v>7379.9999999999991</v>
      </c>
      <c r="L39" s="1">
        <f>+Tabla1[[#This Row],[Unidades]]*Tabla1[[#This Row],[Costo Unitario]]</f>
        <v>5310</v>
      </c>
      <c r="M39">
        <f>+Tabla1[[#This Row],[Valor FOB (Free On Board]]-Tabla1[[#This Row],[Costo total]]</f>
        <v>2069.9999999999991</v>
      </c>
      <c r="N39">
        <f>+Tabla1[[#This Row],[Utilidad:]]/Tabla1[[#This Row],[Valor FOB (Free On Board]]</f>
        <v>0.2804878048780487</v>
      </c>
      <c r="O39" t="str">
        <f>+IF(Tabla1[[#This Row],[Valor FOB (Free On Board]]&gt;=10000, "Grande", IF(Tabla1[[#This Row],[Valor FOB (Free On Board]]&gt;=5000, "Mediano", "Pequeno"))</f>
        <v>Mediano</v>
      </c>
      <c r="P39" t="str">
        <f>VLOOKUP(Tabla1[[#This Row],[País Destino]], '3. Mercados'!$C$4:$F$9, 4, FALSE)</f>
        <v>Estratégico</v>
      </c>
      <c r="Q39" t="str">
        <f>IF(AND(Tabla1[[#This Row],[Tipo de Mercado]]="Estratégico", Tabla1[[#This Row],[Margen]]&gt;=30%), "Alta", IF(AND(Tabla1[[#This Row],[Tipo de Mercado]]="Estratégico", Tabla1[[#This Row],[Margen]]&lt;30%), "Media", IF(AND(Tabla1[[#This Row],[Tipo de Mercado]]="Potencial", Tabla1[[#This Row],[Margen]]&gt;=30%), "Media", "Baja")))</f>
        <v>Media</v>
      </c>
    </row>
    <row r="40" spans="2:18" x14ac:dyDescent="0.3">
      <c r="B40" s="9" t="s">
        <v>71</v>
      </c>
      <c r="C40" s="8">
        <v>46333</v>
      </c>
      <c r="D40" s="1" t="s">
        <v>18</v>
      </c>
      <c r="E40" s="6" t="s">
        <v>24</v>
      </c>
      <c r="F40" s="1" t="s">
        <v>20</v>
      </c>
      <c r="G40" s="1">
        <v>1150</v>
      </c>
      <c r="H40" s="1">
        <v>6.5</v>
      </c>
      <c r="I40" s="1">
        <v>4.0999999999999996</v>
      </c>
      <c r="J40" s="10" t="s">
        <v>26</v>
      </c>
      <c r="K40" s="27">
        <f>+Tabla1[[#This Row],[Unidades]]*Tabla1[[#This Row],[Precio FOB]]</f>
        <v>7475</v>
      </c>
      <c r="L40" s="27">
        <f>+Tabla1[[#This Row],[Unidades]]*Tabla1[[#This Row],[Costo Unitario]]</f>
        <v>4715</v>
      </c>
      <c r="M40" s="29">
        <f>+Tabla1[[#This Row],[Valor FOB (Free On Board]]-Tabla1[[#This Row],[Costo total]]</f>
        <v>2760</v>
      </c>
      <c r="N40">
        <f>+Tabla1[[#This Row],[Utilidad:]]/Tabla1[[#This Row],[Valor FOB (Free On Board]]</f>
        <v>0.36923076923076925</v>
      </c>
      <c r="O40" t="str">
        <f>+IF(Tabla1[[#This Row],[Valor FOB (Free On Board]]&gt;=10000, "Grande", IF(Tabla1[[#This Row],[Valor FOB (Free On Board]]&gt;=5000, "Mediano", "Pequeno"))</f>
        <v>Mediano</v>
      </c>
      <c r="P40" t="str">
        <f>VLOOKUP(Tabla1[[#This Row],[País Destino]], '3. Mercados'!$C$4:$F$9, 4, FALSE)</f>
        <v>Estratégico</v>
      </c>
      <c r="Q40" t="str">
        <f>IF(AND(Tabla1[[#This Row],[Tipo de Mercado]]="Estratégico", Tabla1[[#This Row],[Margen]]&gt;=30%), "Alta", IF(AND(Tabla1[[#This Row],[Tipo de Mercado]]="Estratégico", Tabla1[[#This Row],[Margen]]&lt;30%), "Media", IF(AND(Tabla1[[#This Row],[Tipo de Mercado]]="Potencial", Tabla1[[#This Row],[Margen]]&gt;=30%), "Media", "Baja")))</f>
        <v>Alta</v>
      </c>
      <c r="R40" t="str">
        <f>VLOOKUP(Tabla1[[#This Row],[País Destino]], '3. Mercados'!$C$4:$F$9, 2, FALSE)</f>
        <v>Centroamérica</v>
      </c>
    </row>
    <row r="41" spans="2:18" hidden="1" x14ac:dyDescent="0.3">
      <c r="B41" s="9" t="s">
        <v>72</v>
      </c>
      <c r="C41" s="8">
        <v>46341</v>
      </c>
      <c r="D41" s="1" t="s">
        <v>28</v>
      </c>
      <c r="E41" s="6" t="s">
        <v>38</v>
      </c>
      <c r="F41" s="1" t="s">
        <v>30</v>
      </c>
      <c r="G41" s="1">
        <v>580</v>
      </c>
      <c r="H41" s="1">
        <v>12.5</v>
      </c>
      <c r="I41" s="1">
        <v>8.6999999999999993</v>
      </c>
      <c r="J41" s="10" t="s">
        <v>21</v>
      </c>
      <c r="K41" s="1">
        <f>+Tabla1[[#This Row],[Unidades]]*Tabla1[[#This Row],[Precio FOB]]</f>
        <v>7250</v>
      </c>
      <c r="L41" s="1">
        <f>+Tabla1[[#This Row],[Unidades]]*Tabla1[[#This Row],[Costo Unitario]]</f>
        <v>5046</v>
      </c>
      <c r="M41">
        <f>+Tabla1[[#This Row],[Valor FOB (Free On Board]]-Tabla1[[#This Row],[Costo total]]</f>
        <v>2204</v>
      </c>
      <c r="N41">
        <f>+Tabla1[[#This Row],[Utilidad:]]/Tabla1[[#This Row],[Valor FOB (Free On Board]]</f>
        <v>0.30399999999999999</v>
      </c>
      <c r="O41" t="str">
        <f>+IF(Tabla1[[#This Row],[Valor FOB (Free On Board]]&gt;=10000, "Grande", IF(Tabla1[[#This Row],[Valor FOB (Free On Board]]&gt;=5000, "Mediano", "Pequeno"))</f>
        <v>Mediano</v>
      </c>
      <c r="P41" t="str">
        <f>VLOOKUP(Tabla1[[#This Row],[País Destino]], '3. Mercados'!$C$4:$F$9, 4, FALSE)</f>
        <v>Estratégico</v>
      </c>
      <c r="Q41" t="str">
        <f>IF(AND(Tabla1[[#This Row],[Tipo de Mercado]]="Estratégico", Tabla1[[#This Row],[Margen]]&gt;=30%), "Alta", IF(AND(Tabla1[[#This Row],[Tipo de Mercado]]="Estratégico", Tabla1[[#This Row],[Margen]]&lt;30%), "Media", IF(AND(Tabla1[[#This Row],[Tipo de Mercado]]="Potencial", Tabla1[[#This Row],[Margen]]&gt;=30%), "Media", "Baja")))</f>
        <v>Alta</v>
      </c>
    </row>
    <row r="42" spans="2:18" hidden="1" x14ac:dyDescent="0.3">
      <c r="B42" s="9" t="s">
        <v>73</v>
      </c>
      <c r="C42" s="8">
        <v>46349</v>
      </c>
      <c r="D42" s="1" t="s">
        <v>32</v>
      </c>
      <c r="E42" s="6" t="s">
        <v>19</v>
      </c>
      <c r="F42" s="1" t="s">
        <v>34</v>
      </c>
      <c r="G42" s="1">
        <v>1300</v>
      </c>
      <c r="H42" s="1">
        <v>4.8</v>
      </c>
      <c r="I42" s="1">
        <v>3.2</v>
      </c>
      <c r="J42" s="10" t="s">
        <v>35</v>
      </c>
      <c r="K42" s="1">
        <f>+Tabla1[[#This Row],[Unidades]]*Tabla1[[#This Row],[Precio FOB]]</f>
        <v>6240</v>
      </c>
      <c r="L42" s="1">
        <f>+Tabla1[[#This Row],[Unidades]]*Tabla1[[#This Row],[Costo Unitario]]</f>
        <v>4160</v>
      </c>
      <c r="M42">
        <f>+Tabla1[[#This Row],[Valor FOB (Free On Board]]-Tabla1[[#This Row],[Costo total]]</f>
        <v>2080</v>
      </c>
      <c r="N42">
        <f>+Tabla1[[#This Row],[Utilidad:]]/Tabla1[[#This Row],[Valor FOB (Free On Board]]</f>
        <v>0.33333333333333331</v>
      </c>
      <c r="O42" t="str">
        <f>+IF(Tabla1[[#This Row],[Valor FOB (Free On Board]]&gt;=10000, "Grande", IF(Tabla1[[#This Row],[Valor FOB (Free On Board]]&gt;=5000, "Mediano", "Pequeno"))</f>
        <v>Mediano</v>
      </c>
      <c r="P42" t="str">
        <f>VLOOKUP(Tabla1[[#This Row],[País Destino]], '3. Mercados'!$C$4:$F$9, 4, FALSE)</f>
        <v>Potencial</v>
      </c>
      <c r="Q42" t="str">
        <f>IF(AND(Tabla1[[#This Row],[Tipo de Mercado]]="Estratégico", Tabla1[[#This Row],[Margen]]&gt;=30%), "Alta", IF(AND(Tabla1[[#This Row],[Tipo de Mercado]]="Estratégico", Tabla1[[#This Row],[Margen]]&lt;30%), "Media", IF(AND(Tabla1[[#This Row],[Tipo de Mercado]]="Potencial", Tabla1[[#This Row],[Margen]]&gt;=30%), "Media", "Baja")))</f>
        <v>Media</v>
      </c>
    </row>
    <row r="43" spans="2:18" hidden="1" x14ac:dyDescent="0.3">
      <c r="B43" s="9" t="s">
        <v>74</v>
      </c>
      <c r="C43" s="8">
        <v>46357</v>
      </c>
      <c r="D43" s="1" t="s">
        <v>37</v>
      </c>
      <c r="E43" s="6" t="s">
        <v>33</v>
      </c>
      <c r="F43" s="1" t="s">
        <v>39</v>
      </c>
      <c r="G43" s="1">
        <v>900</v>
      </c>
      <c r="H43" s="1">
        <v>7.1</v>
      </c>
      <c r="I43" s="1">
        <v>4.8</v>
      </c>
      <c r="J43" s="10" t="s">
        <v>26</v>
      </c>
      <c r="K43" s="1">
        <f>+Tabla1[[#This Row],[Unidades]]*Tabla1[[#This Row],[Precio FOB]]</f>
        <v>6390</v>
      </c>
      <c r="L43" s="1">
        <f>+Tabla1[[#This Row],[Unidades]]*Tabla1[[#This Row],[Costo Unitario]]</f>
        <v>4320</v>
      </c>
      <c r="M43">
        <f>+Tabla1[[#This Row],[Valor FOB (Free On Board]]-Tabla1[[#This Row],[Costo total]]</f>
        <v>2070</v>
      </c>
      <c r="N43">
        <f>+Tabla1[[#This Row],[Utilidad:]]/Tabla1[[#This Row],[Valor FOB (Free On Board]]</f>
        <v>0.323943661971831</v>
      </c>
      <c r="O43" t="str">
        <f>+IF(Tabla1[[#This Row],[Valor FOB (Free On Board]]&gt;=10000, "Grande", IF(Tabla1[[#This Row],[Valor FOB (Free On Board]]&gt;=5000, "Mediano", "Pequeno"))</f>
        <v>Mediano</v>
      </c>
      <c r="P43" t="str">
        <f>VLOOKUP(Tabla1[[#This Row],[País Destino]], '3. Mercados'!$C$4:$F$9, 4, FALSE)</f>
        <v>Potencial</v>
      </c>
      <c r="Q43" t="str">
        <f>IF(AND(Tabla1[[#This Row],[Tipo de Mercado]]="Estratégico", Tabla1[[#This Row],[Margen]]&gt;=30%), "Alta", IF(AND(Tabla1[[#This Row],[Tipo de Mercado]]="Estratégico", Tabla1[[#This Row],[Margen]]&lt;30%), "Media", IF(AND(Tabla1[[#This Row],[Tipo de Mercado]]="Potencial", Tabla1[[#This Row],[Margen]]&gt;=30%), "Media", "Baja")))</f>
        <v>Media</v>
      </c>
    </row>
    <row r="44" spans="2:18" x14ac:dyDescent="0.3">
      <c r="B44" s="9" t="s">
        <v>75</v>
      </c>
      <c r="C44" s="8">
        <v>46364</v>
      </c>
      <c r="D44" s="1" t="s">
        <v>23</v>
      </c>
      <c r="E44" s="6" t="s">
        <v>24</v>
      </c>
      <c r="F44" s="1" t="s">
        <v>25</v>
      </c>
      <c r="G44" s="1">
        <v>1400</v>
      </c>
      <c r="H44" s="1">
        <v>6.5</v>
      </c>
      <c r="I44" s="1">
        <v>4.0999999999999996</v>
      </c>
      <c r="J44" s="10" t="s">
        <v>21</v>
      </c>
      <c r="K44" s="27">
        <f>+Tabla1[[#This Row],[Unidades]]*Tabla1[[#This Row],[Precio FOB]]</f>
        <v>9100</v>
      </c>
      <c r="L44" s="27">
        <f>+Tabla1[[#This Row],[Unidades]]*Tabla1[[#This Row],[Costo Unitario]]</f>
        <v>5739.9999999999991</v>
      </c>
      <c r="M44" s="29">
        <f>+Tabla1[[#This Row],[Valor FOB (Free On Board]]-Tabla1[[#This Row],[Costo total]]</f>
        <v>3360.0000000000009</v>
      </c>
      <c r="N44">
        <f>+Tabla1[[#This Row],[Utilidad:]]/Tabla1[[#This Row],[Valor FOB (Free On Board]]</f>
        <v>0.36923076923076931</v>
      </c>
      <c r="O44" t="str">
        <f>+IF(Tabla1[[#This Row],[Valor FOB (Free On Board]]&gt;=10000, "Grande", IF(Tabla1[[#This Row],[Valor FOB (Free On Board]]&gt;=5000, "Mediano", "Pequeno"))</f>
        <v>Mediano</v>
      </c>
      <c r="P44" t="str">
        <f>VLOOKUP(Tabla1[[#This Row],[País Destino]], '3. Mercados'!$C$4:$F$9, 4, FALSE)</f>
        <v>Estratégico</v>
      </c>
      <c r="Q44" t="str">
        <f>IF(AND(Tabla1[[#This Row],[Tipo de Mercado]]="Estratégico", Tabla1[[#This Row],[Margen]]&gt;=30%), "Alta", IF(AND(Tabla1[[#This Row],[Tipo de Mercado]]="Estratégico", Tabla1[[#This Row],[Margen]]&lt;30%), "Media", IF(AND(Tabla1[[#This Row],[Tipo de Mercado]]="Potencial", Tabla1[[#This Row],[Margen]]&gt;=30%), "Media", "Baja")))</f>
        <v>Alta</v>
      </c>
      <c r="R44" t="str">
        <f>VLOOKUP(Tabla1[[#This Row],[País Destino]], '3. Mercados'!$C$4:$F$9, 2, FALSE)</f>
        <v>Norteamérica</v>
      </c>
    </row>
    <row r="45" spans="2:18" hidden="1" x14ac:dyDescent="0.3">
      <c r="B45" s="9" t="s">
        <v>76</v>
      </c>
      <c r="C45" s="8">
        <v>46371</v>
      </c>
      <c r="D45" s="1" t="s">
        <v>18</v>
      </c>
      <c r="E45" s="6" t="s">
        <v>29</v>
      </c>
      <c r="F45" s="1" t="s">
        <v>20</v>
      </c>
      <c r="G45" s="1">
        <v>800</v>
      </c>
      <c r="H45" s="1">
        <v>8.1999999999999993</v>
      </c>
      <c r="I45" s="1">
        <v>5.9</v>
      </c>
      <c r="J45" s="10" t="s">
        <v>26</v>
      </c>
      <c r="K45" s="1">
        <f>+Tabla1[[#This Row],[Unidades]]*Tabla1[[#This Row],[Precio FOB]]</f>
        <v>6559.9999999999991</v>
      </c>
      <c r="L45" s="1">
        <f>+Tabla1[[#This Row],[Unidades]]*Tabla1[[#This Row],[Costo Unitario]]</f>
        <v>4720</v>
      </c>
      <c r="M45">
        <f>+Tabla1[[#This Row],[Valor FOB (Free On Board]]-Tabla1[[#This Row],[Costo total]]</f>
        <v>1839.9999999999991</v>
      </c>
      <c r="N45">
        <f>+Tabla1[[#This Row],[Utilidad:]]/Tabla1[[#This Row],[Valor FOB (Free On Board]]</f>
        <v>0.2804878048780487</v>
      </c>
      <c r="O45" t="str">
        <f>+IF(Tabla1[[#This Row],[Valor FOB (Free On Board]]&gt;=10000, "Grande", IF(Tabla1[[#This Row],[Valor FOB (Free On Board]]&gt;=5000, "Mediano", "Pequeno"))</f>
        <v>Mediano</v>
      </c>
      <c r="P45" t="str">
        <f>VLOOKUP(Tabla1[[#This Row],[País Destino]], '3. Mercados'!$C$4:$F$9, 4, FALSE)</f>
        <v>Estratégico</v>
      </c>
      <c r="Q45" t="str">
        <f>IF(AND(Tabla1[[#This Row],[Tipo de Mercado]]="Estratégico", Tabla1[[#This Row],[Margen]]&gt;=30%), "Alta", IF(AND(Tabla1[[#This Row],[Tipo de Mercado]]="Estratégico", Tabla1[[#This Row],[Margen]]&lt;30%), "Media", IF(AND(Tabla1[[#This Row],[Tipo de Mercado]]="Potencial", Tabla1[[#This Row],[Margen]]&gt;=30%), "Media", "Baja")))</f>
        <v>Media</v>
      </c>
    </row>
    <row r="46" spans="2:18" hidden="1" x14ac:dyDescent="0.3">
      <c r="B46" s="9" t="s">
        <v>77</v>
      </c>
      <c r="C46" s="8">
        <v>46378</v>
      </c>
      <c r="D46" s="1" t="s">
        <v>28</v>
      </c>
      <c r="E46" s="6" t="s">
        <v>19</v>
      </c>
      <c r="F46" s="1" t="s">
        <v>30</v>
      </c>
      <c r="G46" s="1">
        <v>1000</v>
      </c>
      <c r="H46" s="1">
        <v>4.8</v>
      </c>
      <c r="I46" s="1">
        <v>3.2</v>
      </c>
      <c r="J46" s="10" t="s">
        <v>26</v>
      </c>
      <c r="K46" s="1">
        <f>+Tabla1[[#This Row],[Unidades]]*Tabla1[[#This Row],[Precio FOB]]</f>
        <v>4800</v>
      </c>
      <c r="L46" s="1">
        <f>+Tabla1[[#This Row],[Unidades]]*Tabla1[[#This Row],[Costo Unitario]]</f>
        <v>3200</v>
      </c>
      <c r="M46">
        <f>+Tabla1[[#This Row],[Valor FOB (Free On Board]]-Tabla1[[#This Row],[Costo total]]</f>
        <v>1600</v>
      </c>
      <c r="N46">
        <f>+Tabla1[[#This Row],[Utilidad:]]/Tabla1[[#This Row],[Valor FOB (Free On Board]]</f>
        <v>0.33333333333333331</v>
      </c>
      <c r="O46" t="str">
        <f>+IF(Tabla1[[#This Row],[Valor FOB (Free On Board]]&gt;=10000, "Grande", IF(Tabla1[[#This Row],[Valor FOB (Free On Board]]&gt;=5000, "Mediano", "Pequeno"))</f>
        <v>Pequeno</v>
      </c>
      <c r="P46" t="str">
        <f>VLOOKUP(Tabla1[[#This Row],[País Destino]], '3. Mercados'!$C$4:$F$9, 4, FALSE)</f>
        <v>Estratégico</v>
      </c>
      <c r="Q46" t="str">
        <f>IF(AND(Tabla1[[#This Row],[Tipo de Mercado]]="Estratégico", Tabla1[[#This Row],[Margen]]&gt;=30%), "Alta", IF(AND(Tabla1[[#This Row],[Tipo de Mercado]]="Estratégico", Tabla1[[#This Row],[Margen]]&lt;30%), "Media", IF(AND(Tabla1[[#This Row],[Tipo de Mercado]]="Potencial", Tabla1[[#This Row],[Margen]]&gt;=30%), "Media", "Baja")))</f>
        <v>Alta</v>
      </c>
    </row>
    <row r="47" spans="2:18" hidden="1" x14ac:dyDescent="0.3">
      <c r="B47" s="9" t="s">
        <v>78</v>
      </c>
      <c r="C47" s="8">
        <v>46384</v>
      </c>
      <c r="D47" s="1" t="s">
        <v>32</v>
      </c>
      <c r="E47" s="6" t="s">
        <v>38</v>
      </c>
      <c r="F47" s="1" t="s">
        <v>34</v>
      </c>
      <c r="G47" s="1">
        <v>650</v>
      </c>
      <c r="H47" s="1">
        <v>12.5</v>
      </c>
      <c r="I47" s="1">
        <v>8.6999999999999993</v>
      </c>
      <c r="J47" s="10" t="s">
        <v>21</v>
      </c>
      <c r="K47" s="1">
        <f>+Tabla1[[#This Row],[Unidades]]*Tabla1[[#This Row],[Precio FOB]]</f>
        <v>8125</v>
      </c>
      <c r="L47" s="1">
        <f>+Tabla1[[#This Row],[Unidades]]*Tabla1[[#This Row],[Costo Unitario]]</f>
        <v>5654.9999999999991</v>
      </c>
      <c r="M47">
        <f>+Tabla1[[#This Row],[Valor FOB (Free On Board]]-Tabla1[[#This Row],[Costo total]]</f>
        <v>2470.0000000000009</v>
      </c>
      <c r="N47">
        <f>+Tabla1[[#This Row],[Utilidad:]]/Tabla1[[#This Row],[Valor FOB (Free On Board]]</f>
        <v>0.3040000000000001</v>
      </c>
      <c r="O47" t="str">
        <f>+IF(Tabla1[[#This Row],[Valor FOB (Free On Board]]&gt;=10000, "Grande", IF(Tabla1[[#This Row],[Valor FOB (Free On Board]]&gt;=5000, "Mediano", "Pequeno"))</f>
        <v>Mediano</v>
      </c>
      <c r="P47" t="str">
        <f>VLOOKUP(Tabla1[[#This Row],[País Destino]], '3. Mercados'!$C$4:$F$9, 4, FALSE)</f>
        <v>Potencial</v>
      </c>
      <c r="Q47" t="str">
        <f>IF(AND(Tabla1[[#This Row],[Tipo de Mercado]]="Estratégico", Tabla1[[#This Row],[Margen]]&gt;=30%), "Alta", IF(AND(Tabla1[[#This Row],[Tipo de Mercado]]="Estratégico", Tabla1[[#This Row],[Margen]]&lt;30%), "Media", IF(AND(Tabla1[[#This Row],[Tipo de Mercado]]="Potencial", Tabla1[[#This Row],[Margen]]&gt;=30%), "Media", "Baja")))</f>
        <v>Media</v>
      </c>
    </row>
    <row r="48" spans="2:18" x14ac:dyDescent="0.3">
      <c r="B48" s="9" t="s">
        <v>79</v>
      </c>
      <c r="C48" s="8">
        <v>46026</v>
      </c>
      <c r="D48" s="1" t="s">
        <v>37</v>
      </c>
      <c r="E48" s="6" t="s">
        <v>24</v>
      </c>
      <c r="F48" s="1" t="s">
        <v>39</v>
      </c>
      <c r="G48" s="1">
        <v>780</v>
      </c>
      <c r="H48" s="1">
        <v>6.5</v>
      </c>
      <c r="I48" s="1">
        <v>4.0999999999999996</v>
      </c>
      <c r="J48" s="10" t="s">
        <v>26</v>
      </c>
      <c r="K48" s="27">
        <f>+Tabla1[[#This Row],[Unidades]]*Tabla1[[#This Row],[Precio FOB]]</f>
        <v>5070</v>
      </c>
      <c r="L48" s="27">
        <f>+Tabla1[[#This Row],[Unidades]]*Tabla1[[#This Row],[Costo Unitario]]</f>
        <v>3197.9999999999995</v>
      </c>
      <c r="M48" s="29">
        <f>+Tabla1[[#This Row],[Valor FOB (Free On Board]]-Tabla1[[#This Row],[Costo total]]</f>
        <v>1872.0000000000005</v>
      </c>
      <c r="N48">
        <f>+Tabla1[[#This Row],[Utilidad:]]/Tabla1[[#This Row],[Valor FOB (Free On Board]]</f>
        <v>0.36923076923076931</v>
      </c>
      <c r="O48" t="str">
        <f>+IF(Tabla1[[#This Row],[Valor FOB (Free On Board]]&gt;=10000, "Grande", IF(Tabla1[[#This Row],[Valor FOB (Free On Board]]&gt;=5000, "Mediano", "Pequeno"))</f>
        <v>Mediano</v>
      </c>
      <c r="P48" t="str">
        <f>VLOOKUP(Tabla1[[#This Row],[País Destino]], '3. Mercados'!$C$4:$F$9, 4, FALSE)</f>
        <v>Potencial</v>
      </c>
      <c r="Q48" t="str">
        <f>IF(AND(Tabla1[[#This Row],[Tipo de Mercado]]="Estratégico", Tabla1[[#This Row],[Margen]]&gt;=30%), "Alta", IF(AND(Tabla1[[#This Row],[Tipo de Mercado]]="Estratégico", Tabla1[[#This Row],[Margen]]&lt;30%), "Media", IF(AND(Tabla1[[#This Row],[Tipo de Mercado]]="Potencial", Tabla1[[#This Row],[Margen]]&gt;=30%), "Media", "Baja")))</f>
        <v>Media</v>
      </c>
      <c r="R48" t="str">
        <f>VLOOKUP(Tabla1[[#This Row],[País Destino]], '3. Mercados'!$C$4:$F$9, 2, FALSE)</f>
        <v>Norteamérica</v>
      </c>
    </row>
    <row r="49" spans="2:18" hidden="1" x14ac:dyDescent="0.3">
      <c r="B49" s="9" t="s">
        <v>80</v>
      </c>
      <c r="C49" s="8">
        <v>46033</v>
      </c>
      <c r="D49" s="1" t="s">
        <v>23</v>
      </c>
      <c r="E49" s="6" t="s">
        <v>33</v>
      </c>
      <c r="F49" s="1" t="s">
        <v>25</v>
      </c>
      <c r="G49" s="1">
        <v>1180</v>
      </c>
      <c r="H49" s="1">
        <v>7.1</v>
      </c>
      <c r="I49" s="1">
        <v>4.8</v>
      </c>
      <c r="J49" s="10" t="s">
        <v>35</v>
      </c>
      <c r="K49" s="1">
        <f>+Tabla1[[#This Row],[Unidades]]*Tabla1[[#This Row],[Precio FOB]]</f>
        <v>8378</v>
      </c>
      <c r="L49" s="1">
        <f>+Tabla1[[#This Row],[Unidades]]*Tabla1[[#This Row],[Costo Unitario]]</f>
        <v>5664</v>
      </c>
      <c r="M49">
        <f>+Tabla1[[#This Row],[Valor FOB (Free On Board]]-Tabla1[[#This Row],[Costo total]]</f>
        <v>2714</v>
      </c>
      <c r="N49">
        <f>+Tabla1[[#This Row],[Utilidad:]]/Tabla1[[#This Row],[Valor FOB (Free On Board]]</f>
        <v>0.323943661971831</v>
      </c>
      <c r="O49" t="str">
        <f>+IF(Tabla1[[#This Row],[Valor FOB (Free On Board]]&gt;=10000, "Grande", IF(Tabla1[[#This Row],[Valor FOB (Free On Board]]&gt;=5000, "Mediano", "Pequeno"))</f>
        <v>Mediano</v>
      </c>
      <c r="P49" t="str">
        <f>VLOOKUP(Tabla1[[#This Row],[País Destino]], '3. Mercados'!$C$4:$F$9, 4, FALSE)</f>
        <v>Estratégico</v>
      </c>
      <c r="Q49" t="str">
        <f>IF(AND(Tabla1[[#This Row],[Tipo de Mercado]]="Estratégico", Tabla1[[#This Row],[Margen]]&gt;=30%), "Alta", IF(AND(Tabla1[[#This Row],[Tipo de Mercado]]="Estratégico", Tabla1[[#This Row],[Margen]]&lt;30%), "Media", IF(AND(Tabla1[[#This Row],[Tipo de Mercado]]="Potencial", Tabla1[[#This Row],[Margen]]&gt;=30%), "Media", "Baja")))</f>
        <v>Alta</v>
      </c>
    </row>
    <row r="50" spans="2:18" hidden="1" x14ac:dyDescent="0.3">
      <c r="B50" s="9" t="s">
        <v>81</v>
      </c>
      <c r="C50" s="8">
        <v>46040</v>
      </c>
      <c r="D50" s="1" t="s">
        <v>18</v>
      </c>
      <c r="E50" s="6" t="s">
        <v>19</v>
      </c>
      <c r="F50" s="1" t="s">
        <v>20</v>
      </c>
      <c r="G50" s="1">
        <v>920</v>
      </c>
      <c r="H50" s="1">
        <v>4.8</v>
      </c>
      <c r="I50" s="1">
        <v>3.2</v>
      </c>
      <c r="J50" s="10" t="s">
        <v>21</v>
      </c>
      <c r="K50" s="1">
        <f>+Tabla1[[#This Row],[Unidades]]*Tabla1[[#This Row],[Precio FOB]]</f>
        <v>4416</v>
      </c>
      <c r="L50" s="1">
        <f>+Tabla1[[#This Row],[Unidades]]*Tabla1[[#This Row],[Costo Unitario]]</f>
        <v>2944</v>
      </c>
      <c r="M50">
        <f>+Tabla1[[#This Row],[Valor FOB (Free On Board]]-Tabla1[[#This Row],[Costo total]]</f>
        <v>1472</v>
      </c>
      <c r="N50">
        <f>+Tabla1[[#This Row],[Utilidad:]]/Tabla1[[#This Row],[Valor FOB (Free On Board]]</f>
        <v>0.33333333333333331</v>
      </c>
      <c r="O50" t="str">
        <f>+IF(Tabla1[[#This Row],[Valor FOB (Free On Board]]&gt;=10000, "Grande", IF(Tabla1[[#This Row],[Valor FOB (Free On Board]]&gt;=5000, "Mediano", "Pequeno"))</f>
        <v>Pequeno</v>
      </c>
      <c r="P50" t="str">
        <f>VLOOKUP(Tabla1[[#This Row],[País Destino]], '3. Mercados'!$C$4:$F$9, 4, FALSE)</f>
        <v>Estratégico</v>
      </c>
      <c r="Q50" t="str">
        <f>IF(AND(Tabla1[[#This Row],[Tipo de Mercado]]="Estratégico", Tabla1[[#This Row],[Margen]]&gt;=30%), "Alta", IF(AND(Tabla1[[#This Row],[Tipo de Mercado]]="Estratégico", Tabla1[[#This Row],[Margen]]&lt;30%), "Media", IF(AND(Tabla1[[#This Row],[Tipo de Mercado]]="Potencial", Tabla1[[#This Row],[Margen]]&gt;=30%), "Media", "Baja")))</f>
        <v>Alta</v>
      </c>
    </row>
    <row r="51" spans="2:18" hidden="1" x14ac:dyDescent="0.3">
      <c r="B51" s="9" t="s">
        <v>82</v>
      </c>
      <c r="C51" s="8">
        <v>46048</v>
      </c>
      <c r="D51" s="1" t="s">
        <v>28</v>
      </c>
      <c r="E51" s="6" t="s">
        <v>29</v>
      </c>
      <c r="F51" s="1" t="s">
        <v>30</v>
      </c>
      <c r="G51" s="1">
        <v>680</v>
      </c>
      <c r="H51" s="1">
        <v>8.1999999999999993</v>
      </c>
      <c r="I51" s="1">
        <v>5.9</v>
      </c>
      <c r="J51" s="10" t="s">
        <v>26</v>
      </c>
      <c r="K51" s="1">
        <f>+Tabla1[[#This Row],[Unidades]]*Tabla1[[#This Row],[Precio FOB]]</f>
        <v>5575.9999999999991</v>
      </c>
      <c r="L51" s="1">
        <f>+Tabla1[[#This Row],[Unidades]]*Tabla1[[#This Row],[Costo Unitario]]</f>
        <v>4012.0000000000005</v>
      </c>
      <c r="M51">
        <f>+Tabla1[[#This Row],[Valor FOB (Free On Board]]-Tabla1[[#This Row],[Costo total]]</f>
        <v>1563.9999999999986</v>
      </c>
      <c r="N51">
        <f>+Tabla1[[#This Row],[Utilidad:]]/Tabla1[[#This Row],[Valor FOB (Free On Board]]</f>
        <v>0.28048780487804859</v>
      </c>
      <c r="O51" t="str">
        <f>+IF(Tabla1[[#This Row],[Valor FOB (Free On Board]]&gt;=10000, "Grande", IF(Tabla1[[#This Row],[Valor FOB (Free On Board]]&gt;=5000, "Mediano", "Pequeno"))</f>
        <v>Mediano</v>
      </c>
      <c r="P51" t="str">
        <f>VLOOKUP(Tabla1[[#This Row],[País Destino]], '3. Mercados'!$C$4:$F$9, 4, FALSE)</f>
        <v>Estratégico</v>
      </c>
      <c r="Q51" t="str">
        <f>IF(AND(Tabla1[[#This Row],[Tipo de Mercado]]="Estratégico", Tabla1[[#This Row],[Margen]]&gt;=30%), "Alta", IF(AND(Tabla1[[#This Row],[Tipo de Mercado]]="Estratégico", Tabla1[[#This Row],[Margen]]&lt;30%), "Media", IF(AND(Tabla1[[#This Row],[Tipo de Mercado]]="Potencial", Tabla1[[#This Row],[Margen]]&gt;=30%), "Media", "Baja")))</f>
        <v>Media</v>
      </c>
    </row>
    <row r="52" spans="2:18" x14ac:dyDescent="0.3">
      <c r="B52" s="9" t="s">
        <v>83</v>
      </c>
      <c r="C52" s="8">
        <v>46057</v>
      </c>
      <c r="D52" s="1" t="s">
        <v>32</v>
      </c>
      <c r="E52" s="6" t="s">
        <v>24</v>
      </c>
      <c r="F52" s="1" t="s">
        <v>34</v>
      </c>
      <c r="G52" s="1">
        <v>1080</v>
      </c>
      <c r="H52" s="1">
        <v>6.5</v>
      </c>
      <c r="I52" s="1">
        <v>4.0999999999999996</v>
      </c>
      <c r="J52" s="10" t="s">
        <v>21</v>
      </c>
      <c r="K52" s="27">
        <f>+Tabla1[[#This Row],[Unidades]]*Tabla1[[#This Row],[Precio FOB]]</f>
        <v>7020</v>
      </c>
      <c r="L52" s="27">
        <f>+Tabla1[[#This Row],[Unidades]]*Tabla1[[#This Row],[Costo Unitario]]</f>
        <v>4428</v>
      </c>
      <c r="M52" s="29">
        <f>+Tabla1[[#This Row],[Valor FOB (Free On Board]]-Tabla1[[#This Row],[Costo total]]</f>
        <v>2592</v>
      </c>
      <c r="N52">
        <f>+Tabla1[[#This Row],[Utilidad:]]/Tabla1[[#This Row],[Valor FOB (Free On Board]]</f>
        <v>0.36923076923076925</v>
      </c>
      <c r="O52" t="str">
        <f>+IF(Tabla1[[#This Row],[Valor FOB (Free On Board]]&gt;=10000, "Grande", IF(Tabla1[[#This Row],[Valor FOB (Free On Board]]&gt;=5000, "Mediano", "Pequeno"))</f>
        <v>Mediano</v>
      </c>
      <c r="P52" t="str">
        <f>VLOOKUP(Tabla1[[#This Row],[País Destino]], '3. Mercados'!$C$4:$F$9, 4, FALSE)</f>
        <v>Potencial</v>
      </c>
      <c r="Q52" t="str">
        <f>IF(AND(Tabla1[[#This Row],[Tipo de Mercado]]="Estratégico", Tabla1[[#This Row],[Margen]]&gt;=30%), "Alta", IF(AND(Tabla1[[#This Row],[Tipo de Mercado]]="Estratégico", Tabla1[[#This Row],[Margen]]&lt;30%), "Media", IF(AND(Tabla1[[#This Row],[Tipo de Mercado]]="Potencial", Tabla1[[#This Row],[Margen]]&gt;=30%), "Media", "Baja")))</f>
        <v>Media</v>
      </c>
      <c r="R52" t="str">
        <f>VLOOKUP(Tabla1[[#This Row],[País Destino]], '3. Mercados'!$C$4:$F$9, 2, FALSE)</f>
        <v>Europa</v>
      </c>
    </row>
    <row r="53" spans="2:18" hidden="1" x14ac:dyDescent="0.3">
      <c r="B53" s="9" t="s">
        <v>84</v>
      </c>
      <c r="C53" s="8">
        <v>46065</v>
      </c>
      <c r="D53" s="1" t="s">
        <v>37</v>
      </c>
      <c r="E53" s="6" t="s">
        <v>38</v>
      </c>
      <c r="F53" s="1" t="s">
        <v>39</v>
      </c>
      <c r="G53" s="1">
        <v>520</v>
      </c>
      <c r="H53" s="1">
        <v>12.5</v>
      </c>
      <c r="I53" s="1">
        <v>8.6999999999999993</v>
      </c>
      <c r="J53" s="10" t="s">
        <v>26</v>
      </c>
      <c r="K53" s="1">
        <f>+Tabla1[[#This Row],[Unidades]]*Tabla1[[#This Row],[Precio FOB]]</f>
        <v>6500</v>
      </c>
      <c r="L53" s="1">
        <f>+Tabla1[[#This Row],[Unidades]]*Tabla1[[#This Row],[Costo Unitario]]</f>
        <v>4524</v>
      </c>
      <c r="M53">
        <f>+Tabla1[[#This Row],[Valor FOB (Free On Board]]-Tabla1[[#This Row],[Costo total]]</f>
        <v>1976</v>
      </c>
      <c r="N53">
        <f>+Tabla1[[#This Row],[Utilidad:]]/Tabla1[[#This Row],[Valor FOB (Free On Board]]</f>
        <v>0.30399999999999999</v>
      </c>
      <c r="O53" t="str">
        <f>+IF(Tabla1[[#This Row],[Valor FOB (Free On Board]]&gt;=10000, "Grande", IF(Tabla1[[#This Row],[Valor FOB (Free On Board]]&gt;=5000, "Mediano", "Pequeno"))</f>
        <v>Mediano</v>
      </c>
      <c r="P53" t="str">
        <f>VLOOKUP(Tabla1[[#This Row],[País Destino]], '3. Mercados'!$C$4:$F$9, 4, FALSE)</f>
        <v>Potencial</v>
      </c>
      <c r="Q53" t="str">
        <f>IF(AND(Tabla1[[#This Row],[Tipo de Mercado]]="Estratégico", Tabla1[[#This Row],[Margen]]&gt;=30%), "Alta", IF(AND(Tabla1[[#This Row],[Tipo de Mercado]]="Estratégico", Tabla1[[#This Row],[Margen]]&lt;30%), "Media", IF(AND(Tabla1[[#This Row],[Tipo de Mercado]]="Potencial", Tabla1[[#This Row],[Margen]]&gt;=30%), "Media", "Baja")))</f>
        <v>Media</v>
      </c>
    </row>
    <row r="54" spans="2:18" hidden="1" x14ac:dyDescent="0.3">
      <c r="B54" s="9" t="s">
        <v>85</v>
      </c>
      <c r="C54" s="8">
        <v>46074</v>
      </c>
      <c r="D54" s="1" t="s">
        <v>23</v>
      </c>
      <c r="E54" s="6" t="s">
        <v>19</v>
      </c>
      <c r="F54" s="1" t="s">
        <v>25</v>
      </c>
      <c r="G54" s="1">
        <v>1450</v>
      </c>
      <c r="H54" s="1">
        <v>4.8</v>
      </c>
      <c r="I54" s="1">
        <v>3.2</v>
      </c>
      <c r="J54" s="10" t="s">
        <v>26</v>
      </c>
      <c r="K54" s="1">
        <f>+Tabla1[[#This Row],[Unidades]]*Tabla1[[#This Row],[Precio FOB]]</f>
        <v>6960</v>
      </c>
      <c r="L54" s="1">
        <f>+Tabla1[[#This Row],[Unidades]]*Tabla1[[#This Row],[Costo Unitario]]</f>
        <v>4640</v>
      </c>
      <c r="M54">
        <f>+Tabla1[[#This Row],[Valor FOB (Free On Board]]-Tabla1[[#This Row],[Costo total]]</f>
        <v>2320</v>
      </c>
      <c r="N54">
        <f>+Tabla1[[#This Row],[Utilidad:]]/Tabla1[[#This Row],[Valor FOB (Free On Board]]</f>
        <v>0.33333333333333331</v>
      </c>
      <c r="O54" t="str">
        <f>+IF(Tabla1[[#This Row],[Valor FOB (Free On Board]]&gt;=10000, "Grande", IF(Tabla1[[#This Row],[Valor FOB (Free On Board]]&gt;=5000, "Mediano", "Pequeno"))</f>
        <v>Mediano</v>
      </c>
      <c r="P54" t="str">
        <f>VLOOKUP(Tabla1[[#This Row],[País Destino]], '3. Mercados'!$C$4:$F$9, 4, FALSE)</f>
        <v>Estratégico</v>
      </c>
      <c r="Q54" t="str">
        <f>IF(AND(Tabla1[[#This Row],[Tipo de Mercado]]="Estratégico", Tabla1[[#This Row],[Margen]]&gt;=30%), "Alta", IF(AND(Tabla1[[#This Row],[Tipo de Mercado]]="Estratégico", Tabla1[[#This Row],[Margen]]&lt;30%), "Media", IF(AND(Tabla1[[#This Row],[Tipo de Mercado]]="Potencial", Tabla1[[#This Row],[Margen]]&gt;=30%), "Media", "Baja")))</f>
        <v>Alta</v>
      </c>
    </row>
    <row r="55" spans="2:18" hidden="1" x14ac:dyDescent="0.3">
      <c r="B55" s="9" t="s">
        <v>86</v>
      </c>
      <c r="C55" s="8">
        <v>46082</v>
      </c>
      <c r="D55" s="1" t="s">
        <v>18</v>
      </c>
      <c r="E55" s="6" t="s">
        <v>33</v>
      </c>
      <c r="F55" s="1" t="s">
        <v>20</v>
      </c>
      <c r="G55" s="1">
        <v>880</v>
      </c>
      <c r="H55" s="1">
        <v>7.1</v>
      </c>
      <c r="I55" s="1">
        <v>4.8</v>
      </c>
      <c r="J55" s="10" t="s">
        <v>35</v>
      </c>
      <c r="K55" s="1">
        <f>+Tabla1[[#This Row],[Unidades]]*Tabla1[[#This Row],[Precio FOB]]</f>
        <v>6248</v>
      </c>
      <c r="L55" s="1">
        <f>+Tabla1[[#This Row],[Unidades]]*Tabla1[[#This Row],[Costo Unitario]]</f>
        <v>4224</v>
      </c>
      <c r="M55">
        <f>+Tabla1[[#This Row],[Valor FOB (Free On Board]]-Tabla1[[#This Row],[Costo total]]</f>
        <v>2024</v>
      </c>
      <c r="N55">
        <f>+Tabla1[[#This Row],[Utilidad:]]/Tabla1[[#This Row],[Valor FOB (Free On Board]]</f>
        <v>0.323943661971831</v>
      </c>
      <c r="O55" t="str">
        <f>+IF(Tabla1[[#This Row],[Valor FOB (Free On Board]]&gt;=10000, "Grande", IF(Tabla1[[#This Row],[Valor FOB (Free On Board]]&gt;=5000, "Mediano", "Pequeno"))</f>
        <v>Mediano</v>
      </c>
      <c r="P55" t="str">
        <f>VLOOKUP(Tabla1[[#This Row],[País Destino]], '3. Mercados'!$C$4:$F$9, 4, FALSE)</f>
        <v>Estratégico</v>
      </c>
      <c r="Q55" t="str">
        <f>IF(AND(Tabla1[[#This Row],[Tipo de Mercado]]="Estratégico", Tabla1[[#This Row],[Margen]]&gt;=30%), "Alta", IF(AND(Tabla1[[#This Row],[Tipo de Mercado]]="Estratégico", Tabla1[[#This Row],[Margen]]&lt;30%), "Media", IF(AND(Tabla1[[#This Row],[Tipo de Mercado]]="Potencial", Tabla1[[#This Row],[Margen]]&gt;=30%), "Media", "Baja")))</f>
        <v>Alta</v>
      </c>
    </row>
    <row r="56" spans="2:18" x14ac:dyDescent="0.3">
      <c r="B56" s="9" t="s">
        <v>87</v>
      </c>
      <c r="C56" s="8">
        <v>46091</v>
      </c>
      <c r="D56" s="1" t="s">
        <v>28</v>
      </c>
      <c r="E56" s="6" t="s">
        <v>24</v>
      </c>
      <c r="F56" s="1" t="s">
        <v>30</v>
      </c>
      <c r="G56" s="1">
        <v>970</v>
      </c>
      <c r="H56" s="1">
        <v>6.5</v>
      </c>
      <c r="I56" s="1">
        <v>4.0999999999999996</v>
      </c>
      <c r="J56" s="10" t="s">
        <v>21</v>
      </c>
      <c r="K56" s="27">
        <f>+Tabla1[[#This Row],[Unidades]]*Tabla1[[#This Row],[Precio FOB]]</f>
        <v>6305</v>
      </c>
      <c r="L56" s="27">
        <f>+Tabla1[[#This Row],[Unidades]]*Tabla1[[#This Row],[Costo Unitario]]</f>
        <v>3976.9999999999995</v>
      </c>
      <c r="M56" s="29">
        <f>+Tabla1[[#This Row],[Valor FOB (Free On Board]]-Tabla1[[#This Row],[Costo total]]</f>
        <v>2328.0000000000005</v>
      </c>
      <c r="N56">
        <f>+Tabla1[[#This Row],[Utilidad:]]/Tabla1[[#This Row],[Valor FOB (Free On Board]]</f>
        <v>0.36923076923076931</v>
      </c>
      <c r="O56" t="str">
        <f>+IF(Tabla1[[#This Row],[Valor FOB (Free On Board]]&gt;=10000, "Grande", IF(Tabla1[[#This Row],[Valor FOB (Free On Board]]&gt;=5000, "Mediano", "Pequeno"))</f>
        <v>Mediano</v>
      </c>
      <c r="P56" t="str">
        <f>VLOOKUP(Tabla1[[#This Row],[País Destino]], '3. Mercados'!$C$4:$F$9, 4, FALSE)</f>
        <v>Estratégico</v>
      </c>
      <c r="Q56" t="str">
        <f>IF(AND(Tabla1[[#This Row],[Tipo de Mercado]]="Estratégico", Tabla1[[#This Row],[Margen]]&gt;=30%), "Alta", IF(AND(Tabla1[[#This Row],[Tipo de Mercado]]="Estratégico", Tabla1[[#This Row],[Margen]]&lt;30%), "Media", IF(AND(Tabla1[[#This Row],[Tipo de Mercado]]="Potencial", Tabla1[[#This Row],[Margen]]&gt;=30%), "Media", "Baja")))</f>
        <v>Alta</v>
      </c>
      <c r="R56" t="str">
        <f>VLOOKUP(Tabla1[[#This Row],[País Destino]], '3. Mercados'!$C$4:$F$9, 2, FALSE)</f>
        <v>Centroamérica</v>
      </c>
    </row>
    <row r="57" spans="2:18" hidden="1" x14ac:dyDescent="0.3">
      <c r="B57" s="9" t="s">
        <v>88</v>
      </c>
      <c r="C57" s="8">
        <v>46100</v>
      </c>
      <c r="D57" s="1" t="s">
        <v>32</v>
      </c>
      <c r="E57" s="6" t="s">
        <v>29</v>
      </c>
      <c r="F57" s="1" t="s">
        <v>34</v>
      </c>
      <c r="G57" s="1">
        <v>760</v>
      </c>
      <c r="H57" s="1">
        <v>8.1999999999999993</v>
      </c>
      <c r="I57" s="1">
        <v>5.9</v>
      </c>
      <c r="J57" s="10" t="s">
        <v>26</v>
      </c>
      <c r="K57" s="1">
        <f>+Tabla1[[#This Row],[Unidades]]*Tabla1[[#This Row],[Precio FOB]]</f>
        <v>6231.9999999999991</v>
      </c>
      <c r="L57" s="1">
        <f>+Tabla1[[#This Row],[Unidades]]*Tabla1[[#This Row],[Costo Unitario]]</f>
        <v>4484</v>
      </c>
      <c r="M57">
        <f>+Tabla1[[#This Row],[Valor FOB (Free On Board]]-Tabla1[[#This Row],[Costo total]]</f>
        <v>1747.9999999999991</v>
      </c>
      <c r="N57">
        <f>+Tabla1[[#This Row],[Utilidad:]]/Tabla1[[#This Row],[Valor FOB (Free On Board]]</f>
        <v>0.2804878048780487</v>
      </c>
      <c r="O57" t="str">
        <f>+IF(Tabla1[[#This Row],[Valor FOB (Free On Board]]&gt;=10000, "Grande", IF(Tabla1[[#This Row],[Valor FOB (Free On Board]]&gt;=5000, "Mediano", "Pequeno"))</f>
        <v>Mediano</v>
      </c>
      <c r="P57" t="str">
        <f>VLOOKUP(Tabla1[[#This Row],[País Destino]], '3. Mercados'!$C$4:$F$9, 4, FALSE)</f>
        <v>Potencial</v>
      </c>
      <c r="Q57" t="str">
        <f>IF(AND(Tabla1[[#This Row],[Tipo de Mercado]]="Estratégico", Tabla1[[#This Row],[Margen]]&gt;=30%), "Alta", IF(AND(Tabla1[[#This Row],[Tipo de Mercado]]="Estratégico", Tabla1[[#This Row],[Margen]]&lt;30%), "Media", IF(AND(Tabla1[[#This Row],[Tipo de Mercado]]="Potencial", Tabla1[[#This Row],[Margen]]&gt;=30%), "Media", "Baja")))</f>
        <v>Baja</v>
      </c>
    </row>
    <row r="58" spans="2:18" hidden="1" x14ac:dyDescent="0.3">
      <c r="B58" s="9" t="s">
        <v>89</v>
      </c>
      <c r="C58" s="8">
        <v>46109</v>
      </c>
      <c r="D58" s="1" t="s">
        <v>37</v>
      </c>
      <c r="E58" s="6" t="s">
        <v>19</v>
      </c>
      <c r="F58" s="1" t="s">
        <v>39</v>
      </c>
      <c r="G58" s="1">
        <v>620</v>
      </c>
      <c r="H58" s="1">
        <v>4.8</v>
      </c>
      <c r="I58" s="1">
        <v>3.2</v>
      </c>
      <c r="J58" s="10" t="s">
        <v>21</v>
      </c>
      <c r="K58" s="1">
        <f>+Tabla1[[#This Row],[Unidades]]*Tabla1[[#This Row],[Precio FOB]]</f>
        <v>2976</v>
      </c>
      <c r="L58" s="1">
        <f>+Tabla1[[#This Row],[Unidades]]*Tabla1[[#This Row],[Costo Unitario]]</f>
        <v>1984</v>
      </c>
      <c r="M58">
        <f>+Tabla1[[#This Row],[Valor FOB (Free On Board]]-Tabla1[[#This Row],[Costo total]]</f>
        <v>992</v>
      </c>
      <c r="N58">
        <f>+Tabla1[[#This Row],[Utilidad:]]/Tabla1[[#This Row],[Valor FOB (Free On Board]]</f>
        <v>0.33333333333333331</v>
      </c>
      <c r="O58" t="str">
        <f>+IF(Tabla1[[#This Row],[Valor FOB (Free On Board]]&gt;=10000, "Grande", IF(Tabla1[[#This Row],[Valor FOB (Free On Board]]&gt;=5000, "Mediano", "Pequeno"))</f>
        <v>Pequeno</v>
      </c>
      <c r="P58" t="str">
        <f>VLOOKUP(Tabla1[[#This Row],[País Destino]], '3. Mercados'!$C$4:$F$9, 4, FALSE)</f>
        <v>Potencial</v>
      </c>
      <c r="Q58" t="str">
        <f>IF(AND(Tabla1[[#This Row],[Tipo de Mercado]]="Estratégico", Tabla1[[#This Row],[Margen]]&gt;=30%), "Alta", IF(AND(Tabla1[[#This Row],[Tipo de Mercado]]="Estratégico", Tabla1[[#This Row],[Margen]]&lt;30%), "Media", IF(AND(Tabla1[[#This Row],[Tipo de Mercado]]="Potencial", Tabla1[[#This Row],[Margen]]&gt;=30%), "Media", "Baja")))</f>
        <v>Media</v>
      </c>
    </row>
    <row r="59" spans="2:18" hidden="1" x14ac:dyDescent="0.3">
      <c r="B59" s="9" t="s">
        <v>90</v>
      </c>
      <c r="C59" s="8">
        <v>46118</v>
      </c>
      <c r="D59" s="1" t="s">
        <v>23</v>
      </c>
      <c r="E59" s="6" t="s">
        <v>38</v>
      </c>
      <c r="F59" s="1" t="s">
        <v>25</v>
      </c>
      <c r="G59" s="1">
        <v>820</v>
      </c>
      <c r="H59" s="1">
        <v>12.5</v>
      </c>
      <c r="I59" s="1">
        <v>8.6999999999999993</v>
      </c>
      <c r="J59" s="10" t="s">
        <v>26</v>
      </c>
      <c r="K59" s="1">
        <f>+Tabla1[[#This Row],[Unidades]]*Tabla1[[#This Row],[Precio FOB]]</f>
        <v>10250</v>
      </c>
      <c r="L59" s="1">
        <f>+Tabla1[[#This Row],[Unidades]]*Tabla1[[#This Row],[Costo Unitario]]</f>
        <v>7133.9999999999991</v>
      </c>
      <c r="M59">
        <f>+Tabla1[[#This Row],[Valor FOB (Free On Board]]-Tabla1[[#This Row],[Costo total]]</f>
        <v>3116.0000000000009</v>
      </c>
      <c r="N59">
        <f>+Tabla1[[#This Row],[Utilidad:]]/Tabla1[[#This Row],[Valor FOB (Free On Board]]</f>
        <v>0.3040000000000001</v>
      </c>
      <c r="O59" t="str">
        <f>+IF(Tabla1[[#This Row],[Valor FOB (Free On Board]]&gt;=10000, "Grande", IF(Tabla1[[#This Row],[Valor FOB (Free On Board]]&gt;=5000, "Mediano", "Pequeno"))</f>
        <v>Grande</v>
      </c>
      <c r="P59" t="str">
        <f>VLOOKUP(Tabla1[[#This Row],[País Destino]], '3. Mercados'!$C$4:$F$9, 4, FALSE)</f>
        <v>Estratégico</v>
      </c>
      <c r="Q59" t="str">
        <f>IF(AND(Tabla1[[#This Row],[Tipo de Mercado]]="Estratégico", Tabla1[[#This Row],[Margen]]&gt;=30%), "Alta", IF(AND(Tabla1[[#This Row],[Tipo de Mercado]]="Estratégico", Tabla1[[#This Row],[Margen]]&lt;30%), "Media", IF(AND(Tabla1[[#This Row],[Tipo de Mercado]]="Potencial", Tabla1[[#This Row],[Margen]]&gt;=30%), "Media", "Baja")))</f>
        <v>Alta</v>
      </c>
    </row>
    <row r="60" spans="2:18" x14ac:dyDescent="0.3">
      <c r="B60" s="9" t="s">
        <v>91</v>
      </c>
      <c r="C60" s="8">
        <v>46127</v>
      </c>
      <c r="D60" s="1" t="s">
        <v>18</v>
      </c>
      <c r="E60" s="6" t="s">
        <v>24</v>
      </c>
      <c r="F60" s="1" t="s">
        <v>20</v>
      </c>
      <c r="G60" s="1">
        <v>1250</v>
      </c>
      <c r="H60" s="1">
        <v>6.5</v>
      </c>
      <c r="I60" s="1">
        <v>4.0999999999999996</v>
      </c>
      <c r="J60" s="10" t="s">
        <v>26</v>
      </c>
      <c r="K60" s="27">
        <f>+Tabla1[[#This Row],[Unidades]]*Tabla1[[#This Row],[Precio FOB]]</f>
        <v>8125</v>
      </c>
      <c r="L60" s="27">
        <f>+Tabla1[[#This Row],[Unidades]]*Tabla1[[#This Row],[Costo Unitario]]</f>
        <v>5125</v>
      </c>
      <c r="M60" s="29">
        <f>+Tabla1[[#This Row],[Valor FOB (Free On Board]]-Tabla1[[#This Row],[Costo total]]</f>
        <v>3000</v>
      </c>
      <c r="N60">
        <f>+Tabla1[[#This Row],[Utilidad:]]/Tabla1[[#This Row],[Valor FOB (Free On Board]]</f>
        <v>0.36923076923076925</v>
      </c>
      <c r="O60" t="str">
        <f>+IF(Tabla1[[#This Row],[Valor FOB (Free On Board]]&gt;=10000, "Grande", IF(Tabla1[[#This Row],[Valor FOB (Free On Board]]&gt;=5000, "Mediano", "Pequeno"))</f>
        <v>Mediano</v>
      </c>
      <c r="P60" t="str">
        <f>VLOOKUP(Tabla1[[#This Row],[País Destino]], '3. Mercados'!$C$4:$F$9, 4, FALSE)</f>
        <v>Estratégico</v>
      </c>
      <c r="Q60" t="str">
        <f>IF(AND(Tabla1[[#This Row],[Tipo de Mercado]]="Estratégico", Tabla1[[#This Row],[Margen]]&gt;=30%), "Alta", IF(AND(Tabla1[[#This Row],[Tipo de Mercado]]="Estratégico", Tabla1[[#This Row],[Margen]]&lt;30%), "Media", IF(AND(Tabla1[[#This Row],[Tipo de Mercado]]="Potencial", Tabla1[[#This Row],[Margen]]&gt;=30%), "Media", "Baja")))</f>
        <v>Alta</v>
      </c>
      <c r="R60" t="str">
        <f>VLOOKUP(Tabla1[[#This Row],[País Destino]], '3. Mercados'!$C$4:$F$9, 2, FALSE)</f>
        <v>Centroamérica</v>
      </c>
    </row>
    <row r="61" spans="2:18" hidden="1" x14ac:dyDescent="0.3">
      <c r="B61" s="9" t="s">
        <v>92</v>
      </c>
      <c r="C61" s="8">
        <v>46136</v>
      </c>
      <c r="D61" s="1" t="s">
        <v>28</v>
      </c>
      <c r="E61" s="6" t="s">
        <v>33</v>
      </c>
      <c r="F61" s="1" t="s">
        <v>30</v>
      </c>
      <c r="G61" s="1">
        <v>790</v>
      </c>
      <c r="H61" s="1">
        <v>7.1</v>
      </c>
      <c r="I61" s="1">
        <v>4.8</v>
      </c>
      <c r="J61" s="10" t="s">
        <v>21</v>
      </c>
      <c r="K61" s="1">
        <f>+Tabla1[[#This Row],[Unidades]]*Tabla1[[#This Row],[Precio FOB]]</f>
        <v>5609</v>
      </c>
      <c r="L61" s="1">
        <f>+Tabla1[[#This Row],[Unidades]]*Tabla1[[#This Row],[Costo Unitario]]</f>
        <v>3792</v>
      </c>
      <c r="M61">
        <f>+Tabla1[[#This Row],[Valor FOB (Free On Board]]-Tabla1[[#This Row],[Costo total]]</f>
        <v>1817</v>
      </c>
      <c r="N61">
        <f>+Tabla1[[#This Row],[Utilidad:]]/Tabla1[[#This Row],[Valor FOB (Free On Board]]</f>
        <v>0.323943661971831</v>
      </c>
      <c r="O61" t="str">
        <f>+IF(Tabla1[[#This Row],[Valor FOB (Free On Board]]&gt;=10000, "Grande", IF(Tabla1[[#This Row],[Valor FOB (Free On Board]]&gt;=5000, "Mediano", "Pequeno"))</f>
        <v>Mediano</v>
      </c>
      <c r="P61" t="str">
        <f>VLOOKUP(Tabla1[[#This Row],[País Destino]], '3. Mercados'!$C$4:$F$9, 4, FALSE)</f>
        <v>Estratégico</v>
      </c>
      <c r="Q61" t="str">
        <f>IF(AND(Tabla1[[#This Row],[Tipo de Mercado]]="Estratégico", Tabla1[[#This Row],[Margen]]&gt;=30%), "Alta", IF(AND(Tabla1[[#This Row],[Tipo de Mercado]]="Estratégico", Tabla1[[#This Row],[Margen]]&lt;30%), "Media", IF(AND(Tabla1[[#This Row],[Tipo de Mercado]]="Potencial", Tabla1[[#This Row],[Margen]]&gt;=30%), "Media", "Baja")))</f>
        <v>Alta</v>
      </c>
    </row>
    <row r="62" spans="2:18" hidden="1" x14ac:dyDescent="0.3">
      <c r="B62" s="9" t="s">
        <v>93</v>
      </c>
      <c r="C62" s="8">
        <v>46145</v>
      </c>
      <c r="D62" s="1" t="s">
        <v>32</v>
      </c>
      <c r="E62" s="6" t="s">
        <v>19</v>
      </c>
      <c r="F62" s="1" t="s">
        <v>34</v>
      </c>
      <c r="G62" s="1">
        <v>980</v>
      </c>
      <c r="H62" s="1">
        <v>4.8</v>
      </c>
      <c r="I62" s="1">
        <v>3.2</v>
      </c>
      <c r="J62" s="10" t="s">
        <v>35</v>
      </c>
      <c r="K62" s="1">
        <f>+Tabla1[[#This Row],[Unidades]]*Tabla1[[#This Row],[Precio FOB]]</f>
        <v>4704</v>
      </c>
      <c r="L62" s="1">
        <f>+Tabla1[[#This Row],[Unidades]]*Tabla1[[#This Row],[Costo Unitario]]</f>
        <v>3136</v>
      </c>
      <c r="M62">
        <f>+Tabla1[[#This Row],[Valor FOB (Free On Board]]-Tabla1[[#This Row],[Costo total]]</f>
        <v>1568</v>
      </c>
      <c r="N62">
        <f>+Tabla1[[#This Row],[Utilidad:]]/Tabla1[[#This Row],[Valor FOB (Free On Board]]</f>
        <v>0.33333333333333331</v>
      </c>
      <c r="O62" t="str">
        <f>+IF(Tabla1[[#This Row],[Valor FOB (Free On Board]]&gt;=10000, "Grande", IF(Tabla1[[#This Row],[Valor FOB (Free On Board]]&gt;=5000, "Mediano", "Pequeno"))</f>
        <v>Pequeno</v>
      </c>
      <c r="P62" t="str">
        <f>VLOOKUP(Tabla1[[#This Row],[País Destino]], '3. Mercados'!$C$4:$F$9, 4, FALSE)</f>
        <v>Potencial</v>
      </c>
      <c r="Q62" t="str">
        <f>IF(AND(Tabla1[[#This Row],[Tipo de Mercado]]="Estratégico", Tabla1[[#This Row],[Margen]]&gt;=30%), "Alta", IF(AND(Tabla1[[#This Row],[Tipo de Mercado]]="Estratégico", Tabla1[[#This Row],[Margen]]&lt;30%), "Media", IF(AND(Tabla1[[#This Row],[Tipo de Mercado]]="Potencial", Tabla1[[#This Row],[Margen]]&gt;=30%), "Media", "Baja")))</f>
        <v>Media</v>
      </c>
    </row>
    <row r="63" spans="2:18" hidden="1" x14ac:dyDescent="0.3">
      <c r="B63" s="9" t="s">
        <v>94</v>
      </c>
      <c r="C63" s="8">
        <v>46154</v>
      </c>
      <c r="D63" s="1" t="s">
        <v>37</v>
      </c>
      <c r="E63" s="6" t="s">
        <v>29</v>
      </c>
      <c r="F63" s="1" t="s">
        <v>39</v>
      </c>
      <c r="G63" s="1">
        <v>730</v>
      </c>
      <c r="H63" s="1">
        <v>8.1999999999999993</v>
      </c>
      <c r="I63" s="1">
        <v>5.9</v>
      </c>
      <c r="J63" s="10" t="s">
        <v>26</v>
      </c>
      <c r="K63" s="1">
        <f>+Tabla1[[#This Row],[Unidades]]*Tabla1[[#This Row],[Precio FOB]]</f>
        <v>5985.9999999999991</v>
      </c>
      <c r="L63" s="1">
        <f>+Tabla1[[#This Row],[Unidades]]*Tabla1[[#This Row],[Costo Unitario]]</f>
        <v>4307</v>
      </c>
      <c r="M63">
        <f>+Tabla1[[#This Row],[Valor FOB (Free On Board]]-Tabla1[[#This Row],[Costo total]]</f>
        <v>1678.9999999999991</v>
      </c>
      <c r="N63">
        <f>+Tabla1[[#This Row],[Utilidad:]]/Tabla1[[#This Row],[Valor FOB (Free On Board]]</f>
        <v>0.2804878048780487</v>
      </c>
      <c r="O63" t="str">
        <f>+IF(Tabla1[[#This Row],[Valor FOB (Free On Board]]&gt;=10000, "Grande", IF(Tabla1[[#This Row],[Valor FOB (Free On Board]]&gt;=5000, "Mediano", "Pequeno"))</f>
        <v>Mediano</v>
      </c>
      <c r="P63" t="str">
        <f>VLOOKUP(Tabla1[[#This Row],[País Destino]], '3. Mercados'!$C$4:$F$9, 4, FALSE)</f>
        <v>Potencial</v>
      </c>
      <c r="Q63" t="str">
        <f>IF(AND(Tabla1[[#This Row],[Tipo de Mercado]]="Estratégico", Tabla1[[#This Row],[Margen]]&gt;=30%), "Alta", IF(AND(Tabla1[[#This Row],[Tipo de Mercado]]="Estratégico", Tabla1[[#This Row],[Margen]]&lt;30%), "Media", IF(AND(Tabla1[[#This Row],[Tipo de Mercado]]="Potencial", Tabla1[[#This Row],[Margen]]&gt;=30%), "Media", "Baja")))</f>
        <v>Baja</v>
      </c>
    </row>
    <row r="64" spans="2:18" x14ac:dyDescent="0.3">
      <c r="B64" s="9" t="s">
        <v>95</v>
      </c>
      <c r="C64" s="8">
        <v>46163</v>
      </c>
      <c r="D64" s="1" t="s">
        <v>23</v>
      </c>
      <c r="E64" s="6" t="s">
        <v>24</v>
      </c>
      <c r="F64" s="1" t="s">
        <v>25</v>
      </c>
      <c r="G64" s="1">
        <v>1320</v>
      </c>
      <c r="H64" s="1">
        <v>6.5</v>
      </c>
      <c r="I64" s="1">
        <v>4.0999999999999996</v>
      </c>
      <c r="J64" s="10" t="s">
        <v>21</v>
      </c>
      <c r="K64" s="27">
        <f>+Tabla1[[#This Row],[Unidades]]*Tabla1[[#This Row],[Precio FOB]]</f>
        <v>8580</v>
      </c>
      <c r="L64" s="27">
        <f>+Tabla1[[#This Row],[Unidades]]*Tabla1[[#This Row],[Costo Unitario]]</f>
        <v>5411.9999999999991</v>
      </c>
      <c r="M64" s="29">
        <f>+Tabla1[[#This Row],[Valor FOB (Free On Board]]-Tabla1[[#This Row],[Costo total]]</f>
        <v>3168.0000000000009</v>
      </c>
      <c r="N64">
        <f>+Tabla1[[#This Row],[Utilidad:]]/Tabla1[[#This Row],[Valor FOB (Free On Board]]</f>
        <v>0.36923076923076936</v>
      </c>
      <c r="O64" t="str">
        <f>+IF(Tabla1[[#This Row],[Valor FOB (Free On Board]]&gt;=10000, "Grande", IF(Tabla1[[#This Row],[Valor FOB (Free On Board]]&gt;=5000, "Mediano", "Pequeno"))</f>
        <v>Mediano</v>
      </c>
      <c r="P64" t="str">
        <f>VLOOKUP(Tabla1[[#This Row],[País Destino]], '3. Mercados'!$C$4:$F$9, 4, FALSE)</f>
        <v>Estratégico</v>
      </c>
      <c r="Q64" t="str">
        <f>IF(AND(Tabla1[[#This Row],[Tipo de Mercado]]="Estratégico", Tabla1[[#This Row],[Margen]]&gt;=30%), "Alta", IF(AND(Tabla1[[#This Row],[Tipo de Mercado]]="Estratégico", Tabla1[[#This Row],[Margen]]&lt;30%), "Media", IF(AND(Tabla1[[#This Row],[Tipo de Mercado]]="Potencial", Tabla1[[#This Row],[Margen]]&gt;=30%), "Media", "Baja")))</f>
        <v>Alta</v>
      </c>
      <c r="R64" t="str">
        <f>VLOOKUP(Tabla1[[#This Row],[País Destino]], '3. Mercados'!$C$4:$F$9, 2, FALSE)</f>
        <v>Norteamérica</v>
      </c>
    </row>
    <row r="65" spans="2:18" hidden="1" x14ac:dyDescent="0.3">
      <c r="B65" s="9" t="s">
        <v>96</v>
      </c>
      <c r="C65" s="8">
        <v>46172</v>
      </c>
      <c r="D65" s="1" t="s">
        <v>18</v>
      </c>
      <c r="E65" s="6" t="s">
        <v>38</v>
      </c>
      <c r="F65" s="1" t="s">
        <v>20</v>
      </c>
      <c r="G65" s="1">
        <v>470</v>
      </c>
      <c r="H65" s="1">
        <v>12.5</v>
      </c>
      <c r="I65" s="1">
        <v>8.6999999999999993</v>
      </c>
      <c r="J65" s="10" t="s">
        <v>26</v>
      </c>
      <c r="K65" s="1">
        <f>+Tabla1[[#This Row],[Unidades]]*Tabla1[[#This Row],[Precio FOB]]</f>
        <v>5875</v>
      </c>
      <c r="L65" s="1">
        <f>+Tabla1[[#This Row],[Unidades]]*Tabla1[[#This Row],[Costo Unitario]]</f>
        <v>4088.9999999999995</v>
      </c>
      <c r="M65">
        <f>+Tabla1[[#This Row],[Valor FOB (Free On Board]]-Tabla1[[#This Row],[Costo total]]</f>
        <v>1786.0000000000005</v>
      </c>
      <c r="N65">
        <f>+Tabla1[[#This Row],[Utilidad:]]/Tabla1[[#This Row],[Valor FOB (Free On Board]]</f>
        <v>0.3040000000000001</v>
      </c>
      <c r="O65" t="str">
        <f>+IF(Tabla1[[#This Row],[Valor FOB (Free On Board]]&gt;=10000, "Grande", IF(Tabla1[[#This Row],[Valor FOB (Free On Board]]&gt;=5000, "Mediano", "Pequeno"))</f>
        <v>Mediano</v>
      </c>
      <c r="P65" t="str">
        <f>VLOOKUP(Tabla1[[#This Row],[País Destino]], '3. Mercados'!$C$4:$F$9, 4, FALSE)</f>
        <v>Estratégico</v>
      </c>
      <c r="Q65" t="str">
        <f>IF(AND(Tabla1[[#This Row],[Tipo de Mercado]]="Estratégico", Tabla1[[#This Row],[Margen]]&gt;=30%), "Alta", IF(AND(Tabla1[[#This Row],[Tipo de Mercado]]="Estratégico", Tabla1[[#This Row],[Margen]]&lt;30%), "Media", IF(AND(Tabla1[[#This Row],[Tipo de Mercado]]="Potencial", Tabla1[[#This Row],[Margen]]&gt;=30%), "Media", "Baja")))</f>
        <v>Alta</v>
      </c>
    </row>
    <row r="66" spans="2:18" hidden="1" x14ac:dyDescent="0.3">
      <c r="B66" s="9" t="s">
        <v>97</v>
      </c>
      <c r="C66" s="8">
        <v>46181</v>
      </c>
      <c r="D66" s="1" t="s">
        <v>28</v>
      </c>
      <c r="E66" s="6" t="s">
        <v>19</v>
      </c>
      <c r="F66" s="1" t="s">
        <v>30</v>
      </c>
      <c r="G66" s="1">
        <v>860</v>
      </c>
      <c r="H66" s="1">
        <v>4.8</v>
      </c>
      <c r="I66" s="1">
        <v>3.2</v>
      </c>
      <c r="J66" s="10" t="s">
        <v>26</v>
      </c>
      <c r="K66" s="1">
        <f>+Tabla1[[#This Row],[Unidades]]*Tabla1[[#This Row],[Precio FOB]]</f>
        <v>4128</v>
      </c>
      <c r="L66" s="1">
        <f>+Tabla1[[#This Row],[Unidades]]*Tabla1[[#This Row],[Costo Unitario]]</f>
        <v>2752</v>
      </c>
      <c r="M66">
        <f>+Tabla1[[#This Row],[Valor FOB (Free On Board]]-Tabla1[[#This Row],[Costo total]]</f>
        <v>1376</v>
      </c>
      <c r="N66">
        <f>+Tabla1[[#This Row],[Utilidad:]]/Tabla1[[#This Row],[Valor FOB (Free On Board]]</f>
        <v>0.33333333333333331</v>
      </c>
      <c r="O66" t="str">
        <f>+IF(Tabla1[[#This Row],[Valor FOB (Free On Board]]&gt;=10000, "Grande", IF(Tabla1[[#This Row],[Valor FOB (Free On Board]]&gt;=5000, "Mediano", "Pequeno"))</f>
        <v>Pequeno</v>
      </c>
      <c r="P66" t="str">
        <f>VLOOKUP(Tabla1[[#This Row],[País Destino]], '3. Mercados'!$C$4:$F$9, 4, FALSE)</f>
        <v>Estratégico</v>
      </c>
      <c r="Q66" t="str">
        <f>IF(AND(Tabla1[[#This Row],[Tipo de Mercado]]="Estratégico", Tabla1[[#This Row],[Margen]]&gt;=30%), "Alta", IF(AND(Tabla1[[#This Row],[Tipo de Mercado]]="Estratégico", Tabla1[[#This Row],[Margen]]&lt;30%), "Media", IF(AND(Tabla1[[#This Row],[Tipo de Mercado]]="Potencial", Tabla1[[#This Row],[Margen]]&gt;=30%), "Media", "Baja")))</f>
        <v>Alta</v>
      </c>
    </row>
    <row r="67" spans="2:18" hidden="1" x14ac:dyDescent="0.3">
      <c r="B67" s="9" t="s">
        <v>98</v>
      </c>
      <c r="C67" s="8">
        <v>46190</v>
      </c>
      <c r="D67" s="1" t="s">
        <v>32</v>
      </c>
      <c r="E67" s="6" t="s">
        <v>33</v>
      </c>
      <c r="F67" s="1" t="s">
        <v>34</v>
      </c>
      <c r="G67" s="1">
        <v>1040</v>
      </c>
      <c r="H67" s="1">
        <v>7.1</v>
      </c>
      <c r="I67" s="1">
        <v>4.8</v>
      </c>
      <c r="J67" s="10" t="s">
        <v>21</v>
      </c>
      <c r="K67" s="1">
        <f>+Tabla1[[#This Row],[Unidades]]*Tabla1[[#This Row],[Precio FOB]]</f>
        <v>7384</v>
      </c>
      <c r="L67" s="1">
        <f>+Tabla1[[#This Row],[Unidades]]*Tabla1[[#This Row],[Costo Unitario]]</f>
        <v>4992</v>
      </c>
      <c r="M67">
        <f>+Tabla1[[#This Row],[Valor FOB (Free On Board]]-Tabla1[[#This Row],[Costo total]]</f>
        <v>2392</v>
      </c>
      <c r="N67">
        <f>+Tabla1[[#This Row],[Utilidad:]]/Tabla1[[#This Row],[Valor FOB (Free On Board]]</f>
        <v>0.323943661971831</v>
      </c>
      <c r="O67" t="str">
        <f>+IF(Tabla1[[#This Row],[Valor FOB (Free On Board]]&gt;=10000, "Grande", IF(Tabla1[[#This Row],[Valor FOB (Free On Board]]&gt;=5000, "Mediano", "Pequeno"))</f>
        <v>Mediano</v>
      </c>
      <c r="P67" t="str">
        <f>VLOOKUP(Tabla1[[#This Row],[País Destino]], '3. Mercados'!$C$4:$F$9, 4, FALSE)</f>
        <v>Potencial</v>
      </c>
      <c r="Q67" t="str">
        <f>IF(AND(Tabla1[[#This Row],[Tipo de Mercado]]="Estratégico", Tabla1[[#This Row],[Margen]]&gt;=30%), "Alta", IF(AND(Tabla1[[#This Row],[Tipo de Mercado]]="Estratégico", Tabla1[[#This Row],[Margen]]&lt;30%), "Media", IF(AND(Tabla1[[#This Row],[Tipo de Mercado]]="Potencial", Tabla1[[#This Row],[Margen]]&gt;=30%), "Media", "Baja")))</f>
        <v>Media</v>
      </c>
    </row>
    <row r="68" spans="2:18" x14ac:dyDescent="0.3">
      <c r="B68" s="9" t="s">
        <v>99</v>
      </c>
      <c r="C68" s="8">
        <v>46199</v>
      </c>
      <c r="D68" s="1" t="s">
        <v>37</v>
      </c>
      <c r="E68" s="6" t="s">
        <v>24</v>
      </c>
      <c r="F68" s="1" t="s">
        <v>39</v>
      </c>
      <c r="G68" s="1">
        <v>890</v>
      </c>
      <c r="H68" s="1">
        <v>6.5</v>
      </c>
      <c r="I68" s="1">
        <v>4.0999999999999996</v>
      </c>
      <c r="J68" s="10" t="s">
        <v>35</v>
      </c>
      <c r="K68" s="27">
        <f>+Tabla1[[#This Row],[Unidades]]*Tabla1[[#This Row],[Precio FOB]]</f>
        <v>5785</v>
      </c>
      <c r="L68" s="27">
        <f>+Tabla1[[#This Row],[Unidades]]*Tabla1[[#This Row],[Costo Unitario]]</f>
        <v>3648.9999999999995</v>
      </c>
      <c r="M68" s="29">
        <f>+Tabla1[[#This Row],[Valor FOB (Free On Board]]-Tabla1[[#This Row],[Costo total]]</f>
        <v>2136.0000000000005</v>
      </c>
      <c r="N68">
        <f>+Tabla1[[#This Row],[Utilidad:]]/Tabla1[[#This Row],[Valor FOB (Free On Board]]</f>
        <v>0.36923076923076931</v>
      </c>
      <c r="O68" t="str">
        <f>+IF(Tabla1[[#This Row],[Valor FOB (Free On Board]]&gt;=10000, "Grande", IF(Tabla1[[#This Row],[Valor FOB (Free On Board]]&gt;=5000, "Mediano", "Pequeno"))</f>
        <v>Mediano</v>
      </c>
      <c r="P68" t="str">
        <f>VLOOKUP(Tabla1[[#This Row],[País Destino]], '3. Mercados'!$C$4:$F$9, 4, FALSE)</f>
        <v>Potencial</v>
      </c>
      <c r="Q68" t="str">
        <f>IF(AND(Tabla1[[#This Row],[Tipo de Mercado]]="Estratégico", Tabla1[[#This Row],[Margen]]&gt;=30%), "Alta", IF(AND(Tabla1[[#This Row],[Tipo de Mercado]]="Estratégico", Tabla1[[#This Row],[Margen]]&lt;30%), "Media", IF(AND(Tabla1[[#This Row],[Tipo de Mercado]]="Potencial", Tabla1[[#This Row],[Margen]]&gt;=30%), "Media", "Baja")))</f>
        <v>Media</v>
      </c>
      <c r="R68" t="str">
        <f>VLOOKUP(Tabla1[[#This Row],[País Destino]], '3. Mercados'!$C$4:$F$9, 2, FALSE)</f>
        <v>Norteamérica</v>
      </c>
    </row>
    <row r="69" spans="2:18" hidden="1" x14ac:dyDescent="0.3">
      <c r="B69" s="9" t="s">
        <v>100</v>
      </c>
      <c r="C69" s="8">
        <v>46208</v>
      </c>
      <c r="D69" s="1" t="s">
        <v>23</v>
      </c>
      <c r="E69" s="6" t="s">
        <v>29</v>
      </c>
      <c r="F69" s="1" t="s">
        <v>25</v>
      </c>
      <c r="G69" s="1">
        <v>1170</v>
      </c>
      <c r="H69" s="1">
        <v>8.1999999999999993</v>
      </c>
      <c r="I69" s="1">
        <v>5.9</v>
      </c>
      <c r="J69" s="10" t="s">
        <v>26</v>
      </c>
      <c r="K69" s="1">
        <f>+Tabla1[[#This Row],[Unidades]]*Tabla1[[#This Row],[Precio FOB]]</f>
        <v>9594</v>
      </c>
      <c r="L69" s="1">
        <f>+Tabla1[[#This Row],[Unidades]]*Tabla1[[#This Row],[Costo Unitario]]</f>
        <v>6903</v>
      </c>
      <c r="M69">
        <f>+Tabla1[[#This Row],[Valor FOB (Free On Board]]-Tabla1[[#This Row],[Costo total]]</f>
        <v>2691</v>
      </c>
      <c r="N69">
        <f>+Tabla1[[#This Row],[Utilidad:]]/Tabla1[[#This Row],[Valor FOB (Free On Board]]</f>
        <v>0.28048780487804881</v>
      </c>
      <c r="O69" t="str">
        <f>+IF(Tabla1[[#This Row],[Valor FOB (Free On Board]]&gt;=10000, "Grande", IF(Tabla1[[#This Row],[Valor FOB (Free On Board]]&gt;=5000, "Mediano", "Pequeno"))</f>
        <v>Mediano</v>
      </c>
      <c r="P69" t="str">
        <f>VLOOKUP(Tabla1[[#This Row],[País Destino]], '3. Mercados'!$C$4:$F$9, 4, FALSE)</f>
        <v>Estratégico</v>
      </c>
      <c r="Q69" t="str">
        <f>IF(AND(Tabla1[[#This Row],[Tipo de Mercado]]="Estratégico", Tabla1[[#This Row],[Margen]]&gt;=30%), "Alta", IF(AND(Tabla1[[#This Row],[Tipo de Mercado]]="Estratégico", Tabla1[[#This Row],[Margen]]&lt;30%), "Media", IF(AND(Tabla1[[#This Row],[Tipo de Mercado]]="Potencial", Tabla1[[#This Row],[Margen]]&gt;=30%), "Media", "Baja")))</f>
        <v>Media</v>
      </c>
    </row>
    <row r="70" spans="2:18" hidden="1" x14ac:dyDescent="0.3">
      <c r="B70" s="9" t="s">
        <v>101</v>
      </c>
      <c r="C70" s="8">
        <v>46217</v>
      </c>
      <c r="D70" s="1" t="s">
        <v>18</v>
      </c>
      <c r="E70" s="6" t="s">
        <v>19</v>
      </c>
      <c r="F70" s="1" t="s">
        <v>20</v>
      </c>
      <c r="G70" s="1">
        <v>760</v>
      </c>
      <c r="H70" s="1">
        <v>4.8</v>
      </c>
      <c r="I70" s="1">
        <v>3.2</v>
      </c>
      <c r="J70" s="10" t="s">
        <v>21</v>
      </c>
      <c r="K70" s="1">
        <f>+Tabla1[[#This Row],[Unidades]]*Tabla1[[#This Row],[Precio FOB]]</f>
        <v>3648</v>
      </c>
      <c r="L70" s="1">
        <f>+Tabla1[[#This Row],[Unidades]]*Tabla1[[#This Row],[Costo Unitario]]</f>
        <v>2432</v>
      </c>
      <c r="M70">
        <f>+Tabla1[[#This Row],[Valor FOB (Free On Board]]-Tabla1[[#This Row],[Costo total]]</f>
        <v>1216</v>
      </c>
      <c r="N70">
        <f>+Tabla1[[#This Row],[Utilidad:]]/Tabla1[[#This Row],[Valor FOB (Free On Board]]</f>
        <v>0.33333333333333331</v>
      </c>
      <c r="O70" t="str">
        <f>+IF(Tabla1[[#This Row],[Valor FOB (Free On Board]]&gt;=10000, "Grande", IF(Tabla1[[#This Row],[Valor FOB (Free On Board]]&gt;=5000, "Mediano", "Pequeno"))</f>
        <v>Pequeno</v>
      </c>
      <c r="P70" t="str">
        <f>VLOOKUP(Tabla1[[#This Row],[País Destino]], '3. Mercados'!$C$4:$F$9, 4, FALSE)</f>
        <v>Estratégico</v>
      </c>
      <c r="Q70" t="str">
        <f>IF(AND(Tabla1[[#This Row],[Tipo de Mercado]]="Estratégico", Tabla1[[#This Row],[Margen]]&gt;=30%), "Alta", IF(AND(Tabla1[[#This Row],[Tipo de Mercado]]="Estratégico", Tabla1[[#This Row],[Margen]]&lt;30%), "Media", IF(AND(Tabla1[[#This Row],[Tipo de Mercado]]="Potencial", Tabla1[[#This Row],[Margen]]&gt;=30%), "Media", "Baja")))</f>
        <v>Alta</v>
      </c>
    </row>
    <row r="71" spans="2:18" hidden="1" x14ac:dyDescent="0.3">
      <c r="B71" s="9" t="s">
        <v>102</v>
      </c>
      <c r="C71" s="8">
        <v>46226</v>
      </c>
      <c r="D71" s="1" t="s">
        <v>28</v>
      </c>
      <c r="E71" s="6" t="s">
        <v>38</v>
      </c>
      <c r="F71" s="1" t="s">
        <v>30</v>
      </c>
      <c r="G71" s="1">
        <v>540</v>
      </c>
      <c r="H71" s="1">
        <v>12.5</v>
      </c>
      <c r="I71" s="1">
        <v>8.6999999999999993</v>
      </c>
      <c r="J71" s="10" t="s">
        <v>26</v>
      </c>
      <c r="K71" s="1">
        <f>+Tabla1[[#This Row],[Unidades]]*Tabla1[[#This Row],[Precio FOB]]</f>
        <v>6750</v>
      </c>
      <c r="L71" s="1">
        <f>+Tabla1[[#This Row],[Unidades]]*Tabla1[[#This Row],[Costo Unitario]]</f>
        <v>4698</v>
      </c>
      <c r="M71">
        <f>+Tabla1[[#This Row],[Valor FOB (Free On Board]]-Tabla1[[#This Row],[Costo total]]</f>
        <v>2052</v>
      </c>
      <c r="N71">
        <f>+Tabla1[[#This Row],[Utilidad:]]/Tabla1[[#This Row],[Valor FOB (Free On Board]]</f>
        <v>0.30399999999999999</v>
      </c>
      <c r="O71" t="str">
        <f>+IF(Tabla1[[#This Row],[Valor FOB (Free On Board]]&gt;=10000, "Grande", IF(Tabla1[[#This Row],[Valor FOB (Free On Board]]&gt;=5000, "Mediano", "Pequeno"))</f>
        <v>Mediano</v>
      </c>
      <c r="P71" t="str">
        <f>VLOOKUP(Tabla1[[#This Row],[País Destino]], '3. Mercados'!$C$4:$F$9, 4, FALSE)</f>
        <v>Estratégico</v>
      </c>
      <c r="Q71" t="str">
        <f>IF(AND(Tabla1[[#This Row],[Tipo de Mercado]]="Estratégico", Tabla1[[#This Row],[Margen]]&gt;=30%), "Alta", IF(AND(Tabla1[[#This Row],[Tipo de Mercado]]="Estratégico", Tabla1[[#This Row],[Margen]]&lt;30%), "Media", IF(AND(Tabla1[[#This Row],[Tipo de Mercado]]="Potencial", Tabla1[[#This Row],[Margen]]&gt;=30%), "Media", "Baja")))</f>
        <v>Alta</v>
      </c>
    </row>
    <row r="72" spans="2:18" x14ac:dyDescent="0.3">
      <c r="B72" s="9" t="s">
        <v>103</v>
      </c>
      <c r="C72" s="8">
        <v>46235</v>
      </c>
      <c r="D72" s="1" t="s">
        <v>32</v>
      </c>
      <c r="E72" s="6" t="s">
        <v>24</v>
      </c>
      <c r="F72" s="1" t="s">
        <v>34</v>
      </c>
      <c r="G72" s="1">
        <v>1280</v>
      </c>
      <c r="H72" s="1">
        <v>6.5</v>
      </c>
      <c r="I72" s="1">
        <v>4.0999999999999996</v>
      </c>
      <c r="J72" s="10" t="s">
        <v>21</v>
      </c>
      <c r="K72" s="27">
        <f>+Tabla1[[#This Row],[Unidades]]*Tabla1[[#This Row],[Precio FOB]]</f>
        <v>8320</v>
      </c>
      <c r="L72" s="27">
        <f>+Tabla1[[#This Row],[Unidades]]*Tabla1[[#This Row],[Costo Unitario]]</f>
        <v>5248</v>
      </c>
      <c r="M72" s="29">
        <f>+Tabla1[[#This Row],[Valor FOB (Free On Board]]-Tabla1[[#This Row],[Costo total]]</f>
        <v>3072</v>
      </c>
      <c r="N72">
        <f>+Tabla1[[#This Row],[Utilidad:]]/Tabla1[[#This Row],[Valor FOB (Free On Board]]</f>
        <v>0.36923076923076925</v>
      </c>
      <c r="O72" t="str">
        <f>+IF(Tabla1[[#This Row],[Valor FOB (Free On Board]]&gt;=10000, "Grande", IF(Tabla1[[#This Row],[Valor FOB (Free On Board]]&gt;=5000, "Mediano", "Pequeno"))</f>
        <v>Mediano</v>
      </c>
      <c r="P72" t="str">
        <f>VLOOKUP(Tabla1[[#This Row],[País Destino]], '3. Mercados'!$C$4:$F$9, 4, FALSE)</f>
        <v>Potencial</v>
      </c>
      <c r="Q72" t="str">
        <f>IF(AND(Tabla1[[#This Row],[Tipo de Mercado]]="Estratégico", Tabla1[[#This Row],[Margen]]&gt;=30%), "Alta", IF(AND(Tabla1[[#This Row],[Tipo de Mercado]]="Estratégico", Tabla1[[#This Row],[Margen]]&lt;30%), "Media", IF(AND(Tabla1[[#This Row],[Tipo de Mercado]]="Potencial", Tabla1[[#This Row],[Margen]]&gt;=30%), "Media", "Baja")))</f>
        <v>Media</v>
      </c>
      <c r="R72" t="str">
        <f>VLOOKUP(Tabla1[[#This Row],[País Destino]], '3. Mercados'!$C$4:$F$9, 2, FALSE)</f>
        <v>Europa</v>
      </c>
    </row>
    <row r="73" spans="2:18" hidden="1" x14ac:dyDescent="0.3">
      <c r="B73" s="9" t="s">
        <v>104</v>
      </c>
      <c r="C73" s="8">
        <v>46244</v>
      </c>
      <c r="D73" s="1" t="s">
        <v>37</v>
      </c>
      <c r="E73" s="6" t="s">
        <v>33</v>
      </c>
      <c r="F73" s="1" t="s">
        <v>39</v>
      </c>
      <c r="G73" s="1">
        <v>930</v>
      </c>
      <c r="H73" s="1">
        <v>7.1</v>
      </c>
      <c r="I73" s="1">
        <v>4.8</v>
      </c>
      <c r="J73" s="10" t="s">
        <v>26</v>
      </c>
      <c r="K73" s="1">
        <f>+Tabla1[[#This Row],[Unidades]]*Tabla1[[#This Row],[Precio FOB]]</f>
        <v>6603</v>
      </c>
      <c r="L73" s="1">
        <f>+Tabla1[[#This Row],[Unidades]]*Tabla1[[#This Row],[Costo Unitario]]</f>
        <v>4464</v>
      </c>
      <c r="M73">
        <f>+Tabla1[[#This Row],[Valor FOB (Free On Board]]-Tabla1[[#This Row],[Costo total]]</f>
        <v>2139</v>
      </c>
      <c r="N73">
        <f>+Tabla1[[#This Row],[Utilidad:]]/Tabla1[[#This Row],[Valor FOB (Free On Board]]</f>
        <v>0.323943661971831</v>
      </c>
      <c r="O73" t="str">
        <f>+IF(Tabla1[[#This Row],[Valor FOB (Free On Board]]&gt;=10000, "Grande", IF(Tabla1[[#This Row],[Valor FOB (Free On Board]]&gt;=5000, "Mediano", "Pequeno"))</f>
        <v>Mediano</v>
      </c>
      <c r="P73" t="str">
        <f>VLOOKUP(Tabla1[[#This Row],[País Destino]], '3. Mercados'!$C$4:$F$9, 4, FALSE)</f>
        <v>Potencial</v>
      </c>
      <c r="Q73" t="str">
        <f>IF(AND(Tabla1[[#This Row],[Tipo de Mercado]]="Estratégico", Tabla1[[#This Row],[Margen]]&gt;=30%), "Alta", IF(AND(Tabla1[[#This Row],[Tipo de Mercado]]="Estratégico", Tabla1[[#This Row],[Margen]]&lt;30%), "Media", IF(AND(Tabla1[[#This Row],[Tipo de Mercado]]="Potencial", Tabla1[[#This Row],[Margen]]&gt;=30%), "Media", "Baja")))</f>
        <v>Media</v>
      </c>
    </row>
    <row r="74" spans="2:18" hidden="1" x14ac:dyDescent="0.3">
      <c r="B74" s="9" t="s">
        <v>105</v>
      </c>
      <c r="C74" s="8">
        <v>46253</v>
      </c>
      <c r="D74" s="1" t="s">
        <v>23</v>
      </c>
      <c r="E74" s="6" t="s">
        <v>19</v>
      </c>
      <c r="F74" s="1" t="s">
        <v>25</v>
      </c>
      <c r="G74" s="1">
        <v>1550</v>
      </c>
      <c r="H74" s="1">
        <v>4.8</v>
      </c>
      <c r="I74" s="1">
        <v>3.2</v>
      </c>
      <c r="J74" s="10" t="s">
        <v>26</v>
      </c>
      <c r="K74" s="1">
        <f>+Tabla1[[#This Row],[Unidades]]*Tabla1[[#This Row],[Precio FOB]]</f>
        <v>7440</v>
      </c>
      <c r="L74" s="1">
        <f>+Tabla1[[#This Row],[Unidades]]*Tabla1[[#This Row],[Costo Unitario]]</f>
        <v>4960</v>
      </c>
      <c r="M74">
        <f>+Tabla1[[#This Row],[Valor FOB (Free On Board]]-Tabla1[[#This Row],[Costo total]]</f>
        <v>2480</v>
      </c>
      <c r="N74">
        <f>+Tabla1[[#This Row],[Utilidad:]]/Tabla1[[#This Row],[Valor FOB (Free On Board]]</f>
        <v>0.33333333333333331</v>
      </c>
      <c r="O74" t="str">
        <f>+IF(Tabla1[[#This Row],[Valor FOB (Free On Board]]&gt;=10000, "Grande", IF(Tabla1[[#This Row],[Valor FOB (Free On Board]]&gt;=5000, "Mediano", "Pequeno"))</f>
        <v>Mediano</v>
      </c>
      <c r="P74" t="str">
        <f>VLOOKUP(Tabla1[[#This Row],[País Destino]], '3. Mercados'!$C$4:$F$9, 4, FALSE)</f>
        <v>Estratégico</v>
      </c>
      <c r="Q74" t="str">
        <f>IF(AND(Tabla1[[#This Row],[Tipo de Mercado]]="Estratégico", Tabla1[[#This Row],[Margen]]&gt;=30%), "Alta", IF(AND(Tabla1[[#This Row],[Tipo de Mercado]]="Estratégico", Tabla1[[#This Row],[Margen]]&lt;30%), "Media", IF(AND(Tabla1[[#This Row],[Tipo de Mercado]]="Potencial", Tabla1[[#This Row],[Margen]]&gt;=30%), "Media", "Baja")))</f>
        <v>Alta</v>
      </c>
    </row>
    <row r="75" spans="2:18" hidden="1" x14ac:dyDescent="0.3">
      <c r="B75" s="9" t="s">
        <v>106</v>
      </c>
      <c r="C75" s="8">
        <v>46262</v>
      </c>
      <c r="D75" s="1" t="s">
        <v>18</v>
      </c>
      <c r="E75" s="6" t="s">
        <v>29</v>
      </c>
      <c r="F75" s="1" t="s">
        <v>20</v>
      </c>
      <c r="G75" s="1">
        <v>690</v>
      </c>
      <c r="H75" s="1">
        <v>8.1999999999999993</v>
      </c>
      <c r="I75" s="1">
        <v>5.9</v>
      </c>
      <c r="J75" s="10" t="s">
        <v>35</v>
      </c>
      <c r="K75" s="1">
        <f>+Tabla1[[#This Row],[Unidades]]*Tabla1[[#This Row],[Precio FOB]]</f>
        <v>5657.9999999999991</v>
      </c>
      <c r="L75" s="1">
        <f>+Tabla1[[#This Row],[Unidades]]*Tabla1[[#This Row],[Costo Unitario]]</f>
        <v>4071.0000000000005</v>
      </c>
      <c r="M75">
        <f>+Tabla1[[#This Row],[Valor FOB (Free On Board]]-Tabla1[[#This Row],[Costo total]]</f>
        <v>1586.9999999999986</v>
      </c>
      <c r="N75">
        <f>+Tabla1[[#This Row],[Utilidad:]]/Tabla1[[#This Row],[Valor FOB (Free On Board]]</f>
        <v>0.28048780487804859</v>
      </c>
      <c r="O75" t="str">
        <f>+IF(Tabla1[[#This Row],[Valor FOB (Free On Board]]&gt;=10000, "Grande", IF(Tabla1[[#This Row],[Valor FOB (Free On Board]]&gt;=5000, "Mediano", "Pequeno"))</f>
        <v>Mediano</v>
      </c>
      <c r="P75" t="str">
        <f>VLOOKUP(Tabla1[[#This Row],[País Destino]], '3. Mercados'!$C$4:$F$9, 4, FALSE)</f>
        <v>Estratégico</v>
      </c>
      <c r="Q75" t="str">
        <f>IF(AND(Tabla1[[#This Row],[Tipo de Mercado]]="Estratégico", Tabla1[[#This Row],[Margen]]&gt;=30%), "Alta", IF(AND(Tabla1[[#This Row],[Tipo de Mercado]]="Estratégico", Tabla1[[#This Row],[Margen]]&lt;30%), "Media", IF(AND(Tabla1[[#This Row],[Tipo de Mercado]]="Potencial", Tabla1[[#This Row],[Margen]]&gt;=30%), "Media", "Baja")))</f>
        <v>Media</v>
      </c>
    </row>
    <row r="76" spans="2:18" x14ac:dyDescent="0.3">
      <c r="B76" s="9" t="s">
        <v>107</v>
      </c>
      <c r="C76" s="8">
        <v>46271</v>
      </c>
      <c r="D76" s="1" t="s">
        <v>28</v>
      </c>
      <c r="E76" s="6" t="s">
        <v>24</v>
      </c>
      <c r="F76" s="1" t="s">
        <v>30</v>
      </c>
      <c r="G76" s="1">
        <v>1020</v>
      </c>
      <c r="H76" s="1">
        <v>6.5</v>
      </c>
      <c r="I76" s="1">
        <v>4.0999999999999996</v>
      </c>
      <c r="J76" s="10" t="s">
        <v>21</v>
      </c>
      <c r="K76" s="27">
        <f>+Tabla1[[#This Row],[Unidades]]*Tabla1[[#This Row],[Precio FOB]]</f>
        <v>6630</v>
      </c>
      <c r="L76" s="27">
        <f>+Tabla1[[#This Row],[Unidades]]*Tabla1[[#This Row],[Costo Unitario]]</f>
        <v>4182</v>
      </c>
      <c r="M76" s="29">
        <f>+Tabla1[[#This Row],[Valor FOB (Free On Board]]-Tabla1[[#This Row],[Costo total]]</f>
        <v>2448</v>
      </c>
      <c r="N76">
        <f>+Tabla1[[#This Row],[Utilidad:]]/Tabla1[[#This Row],[Valor FOB (Free On Board]]</f>
        <v>0.36923076923076925</v>
      </c>
      <c r="O76" t="str">
        <f>+IF(Tabla1[[#This Row],[Valor FOB (Free On Board]]&gt;=10000, "Grande", IF(Tabla1[[#This Row],[Valor FOB (Free On Board]]&gt;=5000, "Mediano", "Pequeno"))</f>
        <v>Mediano</v>
      </c>
      <c r="P76" t="str">
        <f>VLOOKUP(Tabla1[[#This Row],[País Destino]], '3. Mercados'!$C$4:$F$9, 4, FALSE)</f>
        <v>Estratégico</v>
      </c>
      <c r="Q76" t="str">
        <f>IF(AND(Tabla1[[#This Row],[Tipo de Mercado]]="Estratégico", Tabla1[[#This Row],[Margen]]&gt;=30%), "Alta", IF(AND(Tabla1[[#This Row],[Tipo de Mercado]]="Estratégico", Tabla1[[#This Row],[Margen]]&lt;30%), "Media", IF(AND(Tabla1[[#This Row],[Tipo de Mercado]]="Potencial", Tabla1[[#This Row],[Margen]]&gt;=30%), "Media", "Baja")))</f>
        <v>Alta</v>
      </c>
      <c r="R76" t="str">
        <f>VLOOKUP(Tabla1[[#This Row],[País Destino]], '3. Mercados'!$C$4:$F$9, 2, FALSE)</f>
        <v>Centroamérica</v>
      </c>
    </row>
    <row r="77" spans="2:18" hidden="1" x14ac:dyDescent="0.3">
      <c r="B77" s="9" t="s">
        <v>108</v>
      </c>
      <c r="C77" s="8">
        <v>46280</v>
      </c>
      <c r="D77" s="1" t="s">
        <v>32</v>
      </c>
      <c r="E77" s="6" t="s">
        <v>38</v>
      </c>
      <c r="F77" s="1" t="s">
        <v>34</v>
      </c>
      <c r="G77" s="1">
        <v>610</v>
      </c>
      <c r="H77" s="1">
        <v>12.5</v>
      </c>
      <c r="I77" s="1">
        <v>8.6999999999999993</v>
      </c>
      <c r="J77" s="10" t="s">
        <v>26</v>
      </c>
      <c r="K77" s="1">
        <f>+Tabla1[[#This Row],[Unidades]]*Tabla1[[#This Row],[Precio FOB]]</f>
        <v>7625</v>
      </c>
      <c r="L77" s="1">
        <f>+Tabla1[[#This Row],[Unidades]]*Tabla1[[#This Row],[Costo Unitario]]</f>
        <v>5307</v>
      </c>
      <c r="M77">
        <f>+Tabla1[[#This Row],[Valor FOB (Free On Board]]-Tabla1[[#This Row],[Costo total]]</f>
        <v>2318</v>
      </c>
      <c r="N77">
        <f>+Tabla1[[#This Row],[Utilidad:]]/Tabla1[[#This Row],[Valor FOB (Free On Board]]</f>
        <v>0.30399999999999999</v>
      </c>
      <c r="O77" t="str">
        <f>+IF(Tabla1[[#This Row],[Valor FOB (Free On Board]]&gt;=10000, "Grande", IF(Tabla1[[#This Row],[Valor FOB (Free On Board]]&gt;=5000, "Mediano", "Pequeno"))</f>
        <v>Mediano</v>
      </c>
      <c r="P77" t="str">
        <f>VLOOKUP(Tabla1[[#This Row],[País Destino]], '3. Mercados'!$C$4:$F$9, 4, FALSE)</f>
        <v>Potencial</v>
      </c>
      <c r="Q77" t="str">
        <f>IF(AND(Tabla1[[#This Row],[Tipo de Mercado]]="Estratégico", Tabla1[[#This Row],[Margen]]&gt;=30%), "Alta", IF(AND(Tabla1[[#This Row],[Tipo de Mercado]]="Estratégico", Tabla1[[#This Row],[Margen]]&lt;30%), "Media", IF(AND(Tabla1[[#This Row],[Tipo de Mercado]]="Potencial", Tabla1[[#This Row],[Margen]]&gt;=30%), "Media", "Baja")))</f>
        <v>Media</v>
      </c>
    </row>
    <row r="78" spans="2:18" hidden="1" x14ac:dyDescent="0.3">
      <c r="B78" s="9" t="s">
        <v>109</v>
      </c>
      <c r="C78" s="8">
        <v>46289</v>
      </c>
      <c r="D78" s="1" t="s">
        <v>37</v>
      </c>
      <c r="E78" s="6" t="s">
        <v>19</v>
      </c>
      <c r="F78" s="1" t="s">
        <v>39</v>
      </c>
      <c r="G78" s="1">
        <v>840</v>
      </c>
      <c r="H78" s="1">
        <v>4.8</v>
      </c>
      <c r="I78" s="1">
        <v>3.2</v>
      </c>
      <c r="J78" s="10" t="s">
        <v>21</v>
      </c>
      <c r="K78" s="1">
        <f>+Tabla1[[#This Row],[Unidades]]*Tabla1[[#This Row],[Precio FOB]]</f>
        <v>4032</v>
      </c>
      <c r="L78" s="1">
        <f>+Tabla1[[#This Row],[Unidades]]*Tabla1[[#This Row],[Costo Unitario]]</f>
        <v>2688</v>
      </c>
      <c r="M78">
        <f>+Tabla1[[#This Row],[Valor FOB (Free On Board]]-Tabla1[[#This Row],[Costo total]]</f>
        <v>1344</v>
      </c>
      <c r="N78">
        <f>+Tabla1[[#This Row],[Utilidad:]]/Tabla1[[#This Row],[Valor FOB (Free On Board]]</f>
        <v>0.33333333333333331</v>
      </c>
      <c r="O78" t="str">
        <f>+IF(Tabla1[[#This Row],[Valor FOB (Free On Board]]&gt;=10000, "Grande", IF(Tabla1[[#This Row],[Valor FOB (Free On Board]]&gt;=5000, "Mediano", "Pequeno"))</f>
        <v>Pequeno</v>
      </c>
      <c r="P78" t="str">
        <f>VLOOKUP(Tabla1[[#This Row],[País Destino]], '3. Mercados'!$C$4:$F$9, 4, FALSE)</f>
        <v>Potencial</v>
      </c>
      <c r="Q78" t="str">
        <f>IF(AND(Tabla1[[#This Row],[Tipo de Mercado]]="Estratégico", Tabla1[[#This Row],[Margen]]&gt;=30%), "Alta", IF(AND(Tabla1[[#This Row],[Tipo de Mercado]]="Estratégico", Tabla1[[#This Row],[Margen]]&lt;30%), "Media", IF(AND(Tabla1[[#This Row],[Tipo de Mercado]]="Potencial", Tabla1[[#This Row],[Margen]]&gt;=30%), "Media", "Baja")))</f>
        <v>Media</v>
      </c>
    </row>
    <row r="79" spans="2:18" hidden="1" x14ac:dyDescent="0.3">
      <c r="B79" s="9" t="s">
        <v>110</v>
      </c>
      <c r="C79" s="8">
        <v>46298</v>
      </c>
      <c r="D79" s="1" t="s">
        <v>23</v>
      </c>
      <c r="E79" s="6" t="s">
        <v>33</v>
      </c>
      <c r="F79" s="1" t="s">
        <v>25</v>
      </c>
      <c r="G79" s="1">
        <v>1210</v>
      </c>
      <c r="H79" s="1">
        <v>7.1</v>
      </c>
      <c r="I79" s="1">
        <v>4.8</v>
      </c>
      <c r="J79" s="10" t="s">
        <v>26</v>
      </c>
      <c r="K79" s="1">
        <f>+Tabla1[[#This Row],[Unidades]]*Tabla1[[#This Row],[Precio FOB]]</f>
        <v>8591</v>
      </c>
      <c r="L79" s="1">
        <f>+Tabla1[[#This Row],[Unidades]]*Tabla1[[#This Row],[Costo Unitario]]</f>
        <v>5808</v>
      </c>
      <c r="M79">
        <f>+Tabla1[[#This Row],[Valor FOB (Free On Board]]-Tabla1[[#This Row],[Costo total]]</f>
        <v>2783</v>
      </c>
      <c r="N79">
        <f>+Tabla1[[#This Row],[Utilidad:]]/Tabla1[[#This Row],[Valor FOB (Free On Board]]</f>
        <v>0.323943661971831</v>
      </c>
      <c r="O79" t="str">
        <f>+IF(Tabla1[[#This Row],[Valor FOB (Free On Board]]&gt;=10000, "Grande", IF(Tabla1[[#This Row],[Valor FOB (Free On Board]]&gt;=5000, "Mediano", "Pequeno"))</f>
        <v>Mediano</v>
      </c>
      <c r="P79" t="str">
        <f>VLOOKUP(Tabla1[[#This Row],[País Destino]], '3. Mercados'!$C$4:$F$9, 4, FALSE)</f>
        <v>Estratégico</v>
      </c>
      <c r="Q79" t="str">
        <f>IF(AND(Tabla1[[#This Row],[Tipo de Mercado]]="Estratégico", Tabla1[[#This Row],[Margen]]&gt;=30%), "Alta", IF(AND(Tabla1[[#This Row],[Tipo de Mercado]]="Estratégico", Tabla1[[#This Row],[Margen]]&lt;30%), "Media", IF(AND(Tabla1[[#This Row],[Tipo de Mercado]]="Potencial", Tabla1[[#This Row],[Margen]]&gt;=30%), "Media", "Baja")))</f>
        <v>Alta</v>
      </c>
    </row>
    <row r="80" spans="2:18" x14ac:dyDescent="0.3">
      <c r="B80" s="9" t="s">
        <v>111</v>
      </c>
      <c r="C80" s="8">
        <v>46307</v>
      </c>
      <c r="D80" s="1" t="s">
        <v>18</v>
      </c>
      <c r="E80" s="6" t="s">
        <v>24</v>
      </c>
      <c r="F80" s="1" t="s">
        <v>20</v>
      </c>
      <c r="G80" s="1">
        <v>1080</v>
      </c>
      <c r="H80" s="1">
        <v>6.5</v>
      </c>
      <c r="I80" s="1">
        <v>4.0999999999999996</v>
      </c>
      <c r="J80" s="10" t="s">
        <v>26</v>
      </c>
      <c r="K80" s="27">
        <f>+Tabla1[[#This Row],[Unidades]]*Tabla1[[#This Row],[Precio FOB]]</f>
        <v>7020</v>
      </c>
      <c r="L80" s="27">
        <f>+Tabla1[[#This Row],[Unidades]]*Tabla1[[#This Row],[Costo Unitario]]</f>
        <v>4428</v>
      </c>
      <c r="M80" s="29">
        <f>+Tabla1[[#This Row],[Valor FOB (Free On Board]]-Tabla1[[#This Row],[Costo total]]</f>
        <v>2592</v>
      </c>
      <c r="N80">
        <f>+Tabla1[[#This Row],[Utilidad:]]/Tabla1[[#This Row],[Valor FOB (Free On Board]]</f>
        <v>0.36923076923076925</v>
      </c>
      <c r="O80" t="str">
        <f>+IF(Tabla1[[#This Row],[Valor FOB (Free On Board]]&gt;=10000, "Grande", IF(Tabla1[[#This Row],[Valor FOB (Free On Board]]&gt;=5000, "Mediano", "Pequeno"))</f>
        <v>Mediano</v>
      </c>
      <c r="P80" t="str">
        <f>VLOOKUP(Tabla1[[#This Row],[País Destino]], '3. Mercados'!$C$4:$F$9, 4, FALSE)</f>
        <v>Estratégico</v>
      </c>
      <c r="Q80" t="str">
        <f>IF(AND(Tabla1[[#This Row],[Tipo de Mercado]]="Estratégico", Tabla1[[#This Row],[Margen]]&gt;=30%), "Alta", IF(AND(Tabla1[[#This Row],[Tipo de Mercado]]="Estratégico", Tabla1[[#This Row],[Margen]]&lt;30%), "Media", IF(AND(Tabla1[[#This Row],[Tipo de Mercado]]="Potencial", Tabla1[[#This Row],[Margen]]&gt;=30%), "Media", "Baja")))</f>
        <v>Alta</v>
      </c>
      <c r="R80" t="str">
        <f>VLOOKUP(Tabla1[[#This Row],[País Destino]], '3. Mercados'!$C$4:$F$9, 2, FALSE)</f>
        <v>Centroamérica</v>
      </c>
    </row>
    <row r="81" spans="2:18" hidden="1" x14ac:dyDescent="0.3">
      <c r="B81" s="9" t="s">
        <v>112</v>
      </c>
      <c r="C81" s="8">
        <v>46316</v>
      </c>
      <c r="D81" s="1" t="s">
        <v>28</v>
      </c>
      <c r="E81" s="6" t="s">
        <v>29</v>
      </c>
      <c r="F81" s="1" t="s">
        <v>30</v>
      </c>
      <c r="G81" s="1">
        <v>720</v>
      </c>
      <c r="H81" s="1">
        <v>8.1999999999999993</v>
      </c>
      <c r="I81" s="1">
        <v>5.9</v>
      </c>
      <c r="J81" s="10" t="s">
        <v>21</v>
      </c>
      <c r="K81" s="1">
        <f>+Tabla1[[#This Row],[Unidades]]*Tabla1[[#This Row],[Precio FOB]]</f>
        <v>5903.9999999999991</v>
      </c>
      <c r="L81" s="1">
        <f>+Tabla1[[#This Row],[Unidades]]*Tabla1[[#This Row],[Costo Unitario]]</f>
        <v>4248</v>
      </c>
      <c r="M81">
        <f>+Tabla1[[#This Row],[Valor FOB (Free On Board]]-Tabla1[[#This Row],[Costo total]]</f>
        <v>1655.9999999999991</v>
      </c>
      <c r="N81">
        <f>+Tabla1[[#This Row],[Utilidad:]]/Tabla1[[#This Row],[Valor FOB (Free On Board]]</f>
        <v>0.2804878048780487</v>
      </c>
      <c r="O81" t="str">
        <f>+IF(Tabla1[[#This Row],[Valor FOB (Free On Board]]&gt;=10000, "Grande", IF(Tabla1[[#This Row],[Valor FOB (Free On Board]]&gt;=5000, "Mediano", "Pequeno"))</f>
        <v>Mediano</v>
      </c>
      <c r="P81" t="str">
        <f>VLOOKUP(Tabla1[[#This Row],[País Destino]], '3. Mercados'!$C$4:$F$9, 4, FALSE)</f>
        <v>Estratégico</v>
      </c>
      <c r="Q81" t="str">
        <f>IF(AND(Tabla1[[#This Row],[Tipo de Mercado]]="Estratégico", Tabla1[[#This Row],[Margen]]&gt;=30%), "Alta", IF(AND(Tabla1[[#This Row],[Tipo de Mercado]]="Estratégico", Tabla1[[#This Row],[Margen]]&lt;30%), "Media", IF(AND(Tabla1[[#This Row],[Tipo de Mercado]]="Potencial", Tabla1[[#This Row],[Margen]]&gt;=30%), "Media", "Baja")))</f>
        <v>Media</v>
      </c>
    </row>
    <row r="82" spans="2:18" hidden="1" x14ac:dyDescent="0.3">
      <c r="B82" s="9" t="s">
        <v>113</v>
      </c>
      <c r="C82" s="8">
        <v>46325</v>
      </c>
      <c r="D82" s="1" t="s">
        <v>32</v>
      </c>
      <c r="E82" s="6" t="s">
        <v>19</v>
      </c>
      <c r="F82" s="1" t="s">
        <v>34</v>
      </c>
      <c r="G82" s="1">
        <v>1160</v>
      </c>
      <c r="H82" s="1">
        <v>4.8</v>
      </c>
      <c r="I82" s="1">
        <v>3.2</v>
      </c>
      <c r="J82" s="10" t="s">
        <v>35</v>
      </c>
      <c r="K82" s="1">
        <f>+Tabla1[[#This Row],[Unidades]]*Tabla1[[#This Row],[Precio FOB]]</f>
        <v>5568</v>
      </c>
      <c r="L82" s="1">
        <f>+Tabla1[[#This Row],[Unidades]]*Tabla1[[#This Row],[Costo Unitario]]</f>
        <v>3712</v>
      </c>
      <c r="M82">
        <f>+Tabla1[[#This Row],[Valor FOB (Free On Board]]-Tabla1[[#This Row],[Costo total]]</f>
        <v>1856</v>
      </c>
      <c r="N82">
        <f>+Tabla1[[#This Row],[Utilidad:]]/Tabla1[[#This Row],[Valor FOB (Free On Board]]</f>
        <v>0.33333333333333331</v>
      </c>
      <c r="O82" t="str">
        <f>+IF(Tabla1[[#This Row],[Valor FOB (Free On Board]]&gt;=10000, "Grande", IF(Tabla1[[#This Row],[Valor FOB (Free On Board]]&gt;=5000, "Mediano", "Pequeno"))</f>
        <v>Mediano</v>
      </c>
      <c r="P82" t="str">
        <f>VLOOKUP(Tabla1[[#This Row],[País Destino]], '3. Mercados'!$C$4:$F$9, 4, FALSE)</f>
        <v>Potencial</v>
      </c>
      <c r="Q82" t="str">
        <f>IF(AND(Tabla1[[#This Row],[Tipo de Mercado]]="Estratégico", Tabla1[[#This Row],[Margen]]&gt;=30%), "Alta", IF(AND(Tabla1[[#This Row],[Tipo de Mercado]]="Estratégico", Tabla1[[#This Row],[Margen]]&lt;30%), "Media", IF(AND(Tabla1[[#This Row],[Tipo de Mercado]]="Potencial", Tabla1[[#This Row],[Margen]]&gt;=30%), "Media", "Baja")))</f>
        <v>Media</v>
      </c>
    </row>
    <row r="83" spans="2:18" hidden="1" x14ac:dyDescent="0.3">
      <c r="B83" s="9" t="s">
        <v>114</v>
      </c>
      <c r="C83" s="8">
        <v>46334</v>
      </c>
      <c r="D83" s="1" t="s">
        <v>37</v>
      </c>
      <c r="E83" s="6" t="s">
        <v>38</v>
      </c>
      <c r="F83" s="1" t="s">
        <v>39</v>
      </c>
      <c r="G83" s="1">
        <v>560</v>
      </c>
      <c r="H83" s="1">
        <v>12.5</v>
      </c>
      <c r="I83" s="1">
        <v>8.6999999999999993</v>
      </c>
      <c r="J83" s="10" t="s">
        <v>26</v>
      </c>
      <c r="K83" s="1">
        <f>+Tabla1[[#This Row],[Unidades]]*Tabla1[[#This Row],[Precio FOB]]</f>
        <v>7000</v>
      </c>
      <c r="L83" s="1">
        <f>+Tabla1[[#This Row],[Unidades]]*Tabla1[[#This Row],[Costo Unitario]]</f>
        <v>4872</v>
      </c>
      <c r="M83">
        <f>+Tabla1[[#This Row],[Valor FOB (Free On Board]]-Tabla1[[#This Row],[Costo total]]</f>
        <v>2128</v>
      </c>
      <c r="N83">
        <f>+Tabla1[[#This Row],[Utilidad:]]/Tabla1[[#This Row],[Valor FOB (Free On Board]]</f>
        <v>0.30399999999999999</v>
      </c>
      <c r="O83" t="str">
        <f>+IF(Tabla1[[#This Row],[Valor FOB (Free On Board]]&gt;=10000, "Grande", IF(Tabla1[[#This Row],[Valor FOB (Free On Board]]&gt;=5000, "Mediano", "Pequeno"))</f>
        <v>Mediano</v>
      </c>
      <c r="P83" t="str">
        <f>VLOOKUP(Tabla1[[#This Row],[País Destino]], '3. Mercados'!$C$4:$F$9, 4, FALSE)</f>
        <v>Potencial</v>
      </c>
      <c r="Q83" t="str">
        <f>IF(AND(Tabla1[[#This Row],[Tipo de Mercado]]="Estratégico", Tabla1[[#This Row],[Margen]]&gt;=30%), "Alta", IF(AND(Tabla1[[#This Row],[Tipo de Mercado]]="Estratégico", Tabla1[[#This Row],[Margen]]&lt;30%), "Media", IF(AND(Tabla1[[#This Row],[Tipo de Mercado]]="Potencial", Tabla1[[#This Row],[Margen]]&gt;=30%), "Media", "Baja")))</f>
        <v>Media</v>
      </c>
    </row>
    <row r="84" spans="2:18" x14ac:dyDescent="0.3">
      <c r="B84" s="9" t="s">
        <v>115</v>
      </c>
      <c r="C84" s="8">
        <v>46343</v>
      </c>
      <c r="D84" s="1" t="s">
        <v>23</v>
      </c>
      <c r="E84" s="6" t="s">
        <v>24</v>
      </c>
      <c r="F84" s="1" t="s">
        <v>25</v>
      </c>
      <c r="G84" s="1">
        <v>1380</v>
      </c>
      <c r="H84" s="1">
        <v>6.5</v>
      </c>
      <c r="I84" s="1">
        <v>4.0999999999999996</v>
      </c>
      <c r="J84" s="10" t="s">
        <v>21</v>
      </c>
      <c r="K84" s="27">
        <f>+Tabla1[[#This Row],[Unidades]]*Tabla1[[#This Row],[Precio FOB]]</f>
        <v>8970</v>
      </c>
      <c r="L84" s="27">
        <f>+Tabla1[[#This Row],[Unidades]]*Tabla1[[#This Row],[Costo Unitario]]</f>
        <v>5657.9999999999991</v>
      </c>
      <c r="M84" s="29">
        <f>+Tabla1[[#This Row],[Valor FOB (Free On Board]]-Tabla1[[#This Row],[Costo total]]</f>
        <v>3312.0000000000009</v>
      </c>
      <c r="N84">
        <f>+Tabla1[[#This Row],[Utilidad:]]/Tabla1[[#This Row],[Valor FOB (Free On Board]]</f>
        <v>0.36923076923076931</v>
      </c>
      <c r="O84" t="str">
        <f>+IF(Tabla1[[#This Row],[Valor FOB (Free On Board]]&gt;=10000, "Grande", IF(Tabla1[[#This Row],[Valor FOB (Free On Board]]&gt;=5000, "Mediano", "Pequeno"))</f>
        <v>Mediano</v>
      </c>
      <c r="P84" t="str">
        <f>VLOOKUP(Tabla1[[#This Row],[País Destino]], '3. Mercados'!$C$4:$F$9, 4, FALSE)</f>
        <v>Estratégico</v>
      </c>
      <c r="Q84" t="str">
        <f>IF(AND(Tabla1[[#This Row],[Tipo de Mercado]]="Estratégico", Tabla1[[#This Row],[Margen]]&gt;=30%), "Alta", IF(AND(Tabla1[[#This Row],[Tipo de Mercado]]="Estratégico", Tabla1[[#This Row],[Margen]]&lt;30%), "Media", IF(AND(Tabla1[[#This Row],[Tipo de Mercado]]="Potencial", Tabla1[[#This Row],[Margen]]&gt;=30%), "Media", "Baja")))</f>
        <v>Alta</v>
      </c>
      <c r="R84" t="str">
        <f>VLOOKUP(Tabla1[[#This Row],[País Destino]], '3. Mercados'!$C$4:$F$9, 2, FALSE)</f>
        <v>Norteamérica</v>
      </c>
    </row>
    <row r="85" spans="2:18" hidden="1" x14ac:dyDescent="0.3">
      <c r="B85" s="9" t="s">
        <v>116</v>
      </c>
      <c r="C85" s="8">
        <v>46352</v>
      </c>
      <c r="D85" s="1" t="s">
        <v>18</v>
      </c>
      <c r="E85" s="6" t="s">
        <v>33</v>
      </c>
      <c r="F85" s="1" t="s">
        <v>20</v>
      </c>
      <c r="G85" s="1">
        <v>940</v>
      </c>
      <c r="H85" s="1">
        <v>7.1</v>
      </c>
      <c r="I85" s="1">
        <v>4.8</v>
      </c>
      <c r="J85" s="10" t="s">
        <v>26</v>
      </c>
      <c r="K85" s="1">
        <f>+Tabla1[[#This Row],[Unidades]]*Tabla1[[#This Row],[Precio FOB]]</f>
        <v>6674</v>
      </c>
      <c r="L85" s="1">
        <f>+Tabla1[[#This Row],[Unidades]]*Tabla1[[#This Row],[Costo Unitario]]</f>
        <v>4512</v>
      </c>
      <c r="M85">
        <f>+Tabla1[[#This Row],[Valor FOB (Free On Board]]-Tabla1[[#This Row],[Costo total]]</f>
        <v>2162</v>
      </c>
      <c r="N85">
        <f>+Tabla1[[#This Row],[Utilidad:]]/Tabla1[[#This Row],[Valor FOB (Free On Board]]</f>
        <v>0.323943661971831</v>
      </c>
      <c r="O85" t="str">
        <f>+IF(Tabla1[[#This Row],[Valor FOB (Free On Board]]&gt;=10000, "Grande", IF(Tabla1[[#This Row],[Valor FOB (Free On Board]]&gt;=5000, "Mediano", "Pequeno"))</f>
        <v>Mediano</v>
      </c>
      <c r="P85" t="str">
        <f>VLOOKUP(Tabla1[[#This Row],[País Destino]], '3. Mercados'!$C$4:$F$9, 4, FALSE)</f>
        <v>Estratégico</v>
      </c>
      <c r="Q85" t="str">
        <f>IF(AND(Tabla1[[#This Row],[Tipo de Mercado]]="Estratégico", Tabla1[[#This Row],[Margen]]&gt;=30%), "Alta", IF(AND(Tabla1[[#This Row],[Tipo de Mercado]]="Estratégico", Tabla1[[#This Row],[Margen]]&lt;30%), "Media", IF(AND(Tabla1[[#This Row],[Tipo de Mercado]]="Potencial", Tabla1[[#This Row],[Margen]]&gt;=30%), "Media", "Baja")))</f>
        <v>Alta</v>
      </c>
    </row>
    <row r="86" spans="2:18" hidden="1" x14ac:dyDescent="0.3">
      <c r="B86" s="9" t="s">
        <v>117</v>
      </c>
      <c r="C86" s="8">
        <v>46361</v>
      </c>
      <c r="D86" s="1" t="s">
        <v>28</v>
      </c>
      <c r="E86" s="6" t="s">
        <v>19</v>
      </c>
      <c r="F86" s="1" t="s">
        <v>30</v>
      </c>
      <c r="G86" s="1">
        <v>870</v>
      </c>
      <c r="H86" s="1">
        <v>4.8</v>
      </c>
      <c r="I86" s="1">
        <v>3.2</v>
      </c>
      <c r="J86" s="10" t="s">
        <v>21</v>
      </c>
      <c r="K86" s="1">
        <f>+Tabla1[[#This Row],[Unidades]]*Tabla1[[#This Row],[Precio FOB]]</f>
        <v>4176</v>
      </c>
      <c r="L86" s="1">
        <f>+Tabla1[[#This Row],[Unidades]]*Tabla1[[#This Row],[Costo Unitario]]</f>
        <v>2784</v>
      </c>
      <c r="M86">
        <f>+Tabla1[[#This Row],[Valor FOB (Free On Board]]-Tabla1[[#This Row],[Costo total]]</f>
        <v>1392</v>
      </c>
      <c r="N86">
        <f>+Tabla1[[#This Row],[Utilidad:]]/Tabla1[[#This Row],[Valor FOB (Free On Board]]</f>
        <v>0.33333333333333331</v>
      </c>
      <c r="O86" t="str">
        <f>+IF(Tabla1[[#This Row],[Valor FOB (Free On Board]]&gt;=10000, "Grande", IF(Tabla1[[#This Row],[Valor FOB (Free On Board]]&gt;=5000, "Mediano", "Pequeno"))</f>
        <v>Pequeno</v>
      </c>
      <c r="P86" t="str">
        <f>VLOOKUP(Tabla1[[#This Row],[País Destino]], '3. Mercados'!$C$4:$F$9, 4, FALSE)</f>
        <v>Estratégico</v>
      </c>
      <c r="Q86" t="str">
        <f>IF(AND(Tabla1[[#This Row],[Tipo de Mercado]]="Estratégico", Tabla1[[#This Row],[Margen]]&gt;=30%), "Alta", IF(AND(Tabla1[[#This Row],[Tipo de Mercado]]="Estratégico", Tabla1[[#This Row],[Margen]]&lt;30%), "Media", IF(AND(Tabla1[[#This Row],[Tipo de Mercado]]="Potencial", Tabla1[[#This Row],[Margen]]&gt;=30%), "Media", "Baja")))</f>
        <v>Alta</v>
      </c>
    </row>
    <row r="87" spans="2:18" hidden="1" x14ac:dyDescent="0.3">
      <c r="B87" s="9" t="s">
        <v>118</v>
      </c>
      <c r="C87" s="8">
        <v>46370</v>
      </c>
      <c r="D87" s="1" t="s">
        <v>32</v>
      </c>
      <c r="E87" s="6" t="s">
        <v>29</v>
      </c>
      <c r="F87" s="1" t="s">
        <v>34</v>
      </c>
      <c r="G87" s="1">
        <v>810</v>
      </c>
      <c r="H87" s="1">
        <v>8.1999999999999993</v>
      </c>
      <c r="I87" s="1">
        <v>5.9</v>
      </c>
      <c r="J87" s="10" t="s">
        <v>26</v>
      </c>
      <c r="K87" s="1">
        <f>+Tabla1[[#This Row],[Unidades]]*Tabla1[[#This Row],[Precio FOB]]</f>
        <v>6641.9999999999991</v>
      </c>
      <c r="L87" s="1">
        <f>+Tabla1[[#This Row],[Unidades]]*Tabla1[[#This Row],[Costo Unitario]]</f>
        <v>4779</v>
      </c>
      <c r="M87">
        <f>+Tabla1[[#This Row],[Valor FOB (Free On Board]]-Tabla1[[#This Row],[Costo total]]</f>
        <v>1862.9999999999991</v>
      </c>
      <c r="N87">
        <f>+Tabla1[[#This Row],[Utilidad:]]/Tabla1[[#This Row],[Valor FOB (Free On Board]]</f>
        <v>0.2804878048780487</v>
      </c>
      <c r="O87" t="str">
        <f>+IF(Tabla1[[#This Row],[Valor FOB (Free On Board]]&gt;=10000, "Grande", IF(Tabla1[[#This Row],[Valor FOB (Free On Board]]&gt;=5000, "Mediano", "Pequeno"))</f>
        <v>Mediano</v>
      </c>
      <c r="P87" t="str">
        <f>VLOOKUP(Tabla1[[#This Row],[País Destino]], '3. Mercados'!$C$4:$F$9, 4, FALSE)</f>
        <v>Potencial</v>
      </c>
      <c r="Q87" t="str">
        <f>IF(AND(Tabla1[[#This Row],[Tipo de Mercado]]="Estratégico", Tabla1[[#This Row],[Margen]]&gt;=30%), "Alta", IF(AND(Tabla1[[#This Row],[Tipo de Mercado]]="Estratégico", Tabla1[[#This Row],[Margen]]&lt;30%), "Media", IF(AND(Tabla1[[#This Row],[Tipo de Mercado]]="Potencial", Tabla1[[#This Row],[Margen]]&gt;=30%), "Media", "Baja")))</f>
        <v>Baja</v>
      </c>
    </row>
    <row r="88" spans="2:18" x14ac:dyDescent="0.3">
      <c r="B88" s="9" t="s">
        <v>119</v>
      </c>
      <c r="C88" s="8">
        <v>46379</v>
      </c>
      <c r="D88" s="1" t="s">
        <v>37</v>
      </c>
      <c r="E88" s="6" t="s">
        <v>24</v>
      </c>
      <c r="F88" s="1" t="s">
        <v>39</v>
      </c>
      <c r="G88" s="1">
        <v>990</v>
      </c>
      <c r="H88" s="1">
        <v>6.5</v>
      </c>
      <c r="I88" s="1">
        <v>4.0999999999999996</v>
      </c>
      <c r="J88" s="10" t="s">
        <v>35</v>
      </c>
      <c r="K88" s="27">
        <f>+Tabla1[[#This Row],[Unidades]]*Tabla1[[#This Row],[Precio FOB]]</f>
        <v>6435</v>
      </c>
      <c r="L88" s="27">
        <f>+Tabla1[[#This Row],[Unidades]]*Tabla1[[#This Row],[Costo Unitario]]</f>
        <v>4058.9999999999995</v>
      </c>
      <c r="M88" s="29">
        <f>+Tabla1[[#This Row],[Valor FOB (Free On Board]]-Tabla1[[#This Row],[Costo total]]</f>
        <v>2376.0000000000005</v>
      </c>
      <c r="N88">
        <f>+Tabla1[[#This Row],[Utilidad:]]/Tabla1[[#This Row],[Valor FOB (Free On Board]]</f>
        <v>0.36923076923076931</v>
      </c>
      <c r="O88" t="str">
        <f>+IF(Tabla1[[#This Row],[Valor FOB (Free On Board]]&gt;=10000, "Grande", IF(Tabla1[[#This Row],[Valor FOB (Free On Board]]&gt;=5000, "Mediano", "Pequeno"))</f>
        <v>Mediano</v>
      </c>
      <c r="P88" t="str">
        <f>VLOOKUP(Tabla1[[#This Row],[País Destino]], '3. Mercados'!$C$4:$F$9, 4, FALSE)</f>
        <v>Potencial</v>
      </c>
      <c r="Q88" t="str">
        <f>IF(AND(Tabla1[[#This Row],[Tipo de Mercado]]="Estratégico", Tabla1[[#This Row],[Margen]]&gt;=30%), "Alta", IF(AND(Tabla1[[#This Row],[Tipo de Mercado]]="Estratégico", Tabla1[[#This Row],[Margen]]&lt;30%), "Media", IF(AND(Tabla1[[#This Row],[Tipo de Mercado]]="Potencial", Tabla1[[#This Row],[Margen]]&gt;=30%), "Media", "Baja")))</f>
        <v>Media</v>
      </c>
      <c r="R88" t="str">
        <f>VLOOKUP(Tabla1[[#This Row],[País Destino]], '3. Mercados'!$C$4:$F$9, 2, FALSE)</f>
        <v>Norteamérica</v>
      </c>
    </row>
    <row r="89" spans="2:18" hidden="1" x14ac:dyDescent="0.3">
      <c r="B89" s="9" t="s">
        <v>120</v>
      </c>
      <c r="C89" s="8">
        <v>46386</v>
      </c>
      <c r="D89" s="1" t="s">
        <v>23</v>
      </c>
      <c r="E89" s="6" t="s">
        <v>38</v>
      </c>
      <c r="F89" s="1" t="s">
        <v>25</v>
      </c>
      <c r="G89" s="1">
        <v>730</v>
      </c>
      <c r="H89" s="1">
        <v>12.5</v>
      </c>
      <c r="I89" s="1">
        <v>8.6999999999999993</v>
      </c>
      <c r="J89" s="10" t="s">
        <v>26</v>
      </c>
      <c r="K89" s="1">
        <f>+Tabla1[[#This Row],[Unidades]]*Tabla1[[#This Row],[Precio FOB]]</f>
        <v>9125</v>
      </c>
      <c r="L89" s="1">
        <f>+Tabla1[[#This Row],[Unidades]]*Tabla1[[#This Row],[Costo Unitario]]</f>
        <v>6350.9999999999991</v>
      </c>
      <c r="M89">
        <f>+Tabla1[[#This Row],[Valor FOB (Free On Board]]-Tabla1[[#This Row],[Costo total]]</f>
        <v>2774.0000000000009</v>
      </c>
      <c r="N89">
        <f>+Tabla1[[#This Row],[Utilidad:]]/Tabla1[[#This Row],[Valor FOB (Free On Board]]</f>
        <v>0.3040000000000001</v>
      </c>
      <c r="O89" t="str">
        <f>+IF(Tabla1[[#This Row],[Valor FOB (Free On Board]]&gt;=10000, "Grande", IF(Tabla1[[#This Row],[Valor FOB (Free On Board]]&gt;=5000, "Mediano", "Pequeno"))</f>
        <v>Mediano</v>
      </c>
      <c r="P89" t="str">
        <f>VLOOKUP(Tabla1[[#This Row],[País Destino]], '3. Mercados'!$C$4:$F$9, 4, FALSE)</f>
        <v>Estratégico</v>
      </c>
      <c r="Q89" t="str">
        <f>IF(AND(Tabla1[[#This Row],[Tipo de Mercado]]="Estratégico", Tabla1[[#This Row],[Margen]]&gt;=30%), "Alta", IF(AND(Tabla1[[#This Row],[Tipo de Mercado]]="Estratégico", Tabla1[[#This Row],[Margen]]&lt;30%), "Media", IF(AND(Tabla1[[#This Row],[Tipo de Mercado]]="Potencial", Tabla1[[#This Row],[Margen]]&gt;=30%), "Media", "Baja")))</f>
        <v>Alta</v>
      </c>
    </row>
    <row r="90" spans="2:18" hidden="1" x14ac:dyDescent="0.3">
      <c r="B90" s="9" t="s">
        <v>121</v>
      </c>
      <c r="C90" s="8">
        <v>46029</v>
      </c>
      <c r="D90" s="1" t="s">
        <v>18</v>
      </c>
      <c r="E90" s="6" t="s">
        <v>29</v>
      </c>
      <c r="F90" s="1" t="s">
        <v>20</v>
      </c>
      <c r="G90" s="1">
        <v>780</v>
      </c>
      <c r="H90" s="1">
        <v>8.1999999999999993</v>
      </c>
      <c r="I90" s="1">
        <v>5.9</v>
      </c>
      <c r="J90" s="10" t="s">
        <v>21</v>
      </c>
      <c r="K90" s="1">
        <f>+Tabla1[[#This Row],[Unidades]]*Tabla1[[#This Row],[Precio FOB]]</f>
        <v>6395.9999999999991</v>
      </c>
      <c r="L90" s="1">
        <f>+Tabla1[[#This Row],[Unidades]]*Tabla1[[#This Row],[Costo Unitario]]</f>
        <v>4602</v>
      </c>
      <c r="M90">
        <f>+Tabla1[[#This Row],[Valor FOB (Free On Board]]-Tabla1[[#This Row],[Costo total]]</f>
        <v>1793.9999999999991</v>
      </c>
      <c r="N90">
        <f>+Tabla1[[#This Row],[Utilidad:]]/Tabla1[[#This Row],[Valor FOB (Free On Board]]</f>
        <v>0.2804878048780487</v>
      </c>
      <c r="O90" t="str">
        <f>+IF(Tabla1[[#This Row],[Valor FOB (Free On Board]]&gt;=10000, "Grande", IF(Tabla1[[#This Row],[Valor FOB (Free On Board]]&gt;=5000, "Mediano", "Pequeno"))</f>
        <v>Mediano</v>
      </c>
      <c r="P90" t="str">
        <f>VLOOKUP(Tabla1[[#This Row],[País Destino]], '3. Mercados'!$C$4:$F$9, 4, FALSE)</f>
        <v>Estratégico</v>
      </c>
      <c r="Q90" t="str">
        <f>IF(AND(Tabla1[[#This Row],[Tipo de Mercado]]="Estratégico", Tabla1[[#This Row],[Margen]]&gt;=30%), "Alta", IF(AND(Tabla1[[#This Row],[Tipo de Mercado]]="Estratégico", Tabla1[[#This Row],[Margen]]&lt;30%), "Media", IF(AND(Tabla1[[#This Row],[Tipo de Mercado]]="Potencial", Tabla1[[#This Row],[Margen]]&gt;=30%), "Media", "Baja")))</f>
        <v>Media</v>
      </c>
    </row>
    <row r="91" spans="2:18" hidden="1" x14ac:dyDescent="0.3">
      <c r="B91" s="9" t="s">
        <v>122</v>
      </c>
      <c r="C91" s="8">
        <v>46038</v>
      </c>
      <c r="D91" s="1" t="s">
        <v>28</v>
      </c>
      <c r="E91" s="6" t="s">
        <v>19</v>
      </c>
      <c r="F91" s="1" t="s">
        <v>30</v>
      </c>
      <c r="G91" s="1">
        <v>930</v>
      </c>
      <c r="H91" s="1">
        <v>4.8</v>
      </c>
      <c r="I91" s="1">
        <v>3.2</v>
      </c>
      <c r="J91" s="10" t="s">
        <v>26</v>
      </c>
      <c r="K91" s="1">
        <f>+Tabla1[[#This Row],[Unidades]]*Tabla1[[#This Row],[Precio FOB]]</f>
        <v>4464</v>
      </c>
      <c r="L91" s="1">
        <f>+Tabla1[[#This Row],[Unidades]]*Tabla1[[#This Row],[Costo Unitario]]</f>
        <v>2976</v>
      </c>
      <c r="M91">
        <f>+Tabla1[[#This Row],[Valor FOB (Free On Board]]-Tabla1[[#This Row],[Costo total]]</f>
        <v>1488</v>
      </c>
      <c r="N91">
        <f>+Tabla1[[#This Row],[Utilidad:]]/Tabla1[[#This Row],[Valor FOB (Free On Board]]</f>
        <v>0.33333333333333331</v>
      </c>
      <c r="O91" t="str">
        <f>+IF(Tabla1[[#This Row],[Valor FOB (Free On Board]]&gt;=10000, "Grande", IF(Tabla1[[#This Row],[Valor FOB (Free On Board]]&gt;=5000, "Mediano", "Pequeno"))</f>
        <v>Pequeno</v>
      </c>
      <c r="P91" t="str">
        <f>VLOOKUP(Tabla1[[#This Row],[País Destino]], '3. Mercados'!$C$4:$F$9, 4, FALSE)</f>
        <v>Estratégico</v>
      </c>
      <c r="Q91" t="str">
        <f>IF(AND(Tabla1[[#This Row],[Tipo de Mercado]]="Estratégico", Tabla1[[#This Row],[Margen]]&gt;=30%), "Alta", IF(AND(Tabla1[[#This Row],[Tipo de Mercado]]="Estratégico", Tabla1[[#This Row],[Margen]]&lt;30%), "Media", IF(AND(Tabla1[[#This Row],[Tipo de Mercado]]="Potencial", Tabla1[[#This Row],[Margen]]&gt;=30%), "Media", "Baja")))</f>
        <v>Alta</v>
      </c>
    </row>
    <row r="92" spans="2:18" hidden="1" x14ac:dyDescent="0.3">
      <c r="B92" s="9" t="s">
        <v>123</v>
      </c>
      <c r="C92" s="8">
        <v>46047</v>
      </c>
      <c r="D92" s="1" t="s">
        <v>32</v>
      </c>
      <c r="E92" s="6" t="s">
        <v>33</v>
      </c>
      <c r="F92" s="1" t="s">
        <v>34</v>
      </c>
      <c r="G92" s="1">
        <v>870</v>
      </c>
      <c r="H92" s="1">
        <v>7.1</v>
      </c>
      <c r="I92" s="1">
        <v>4.8</v>
      </c>
      <c r="J92" s="10" t="s">
        <v>35</v>
      </c>
      <c r="K92" s="1">
        <f>+Tabla1[[#This Row],[Unidades]]*Tabla1[[#This Row],[Precio FOB]]</f>
        <v>6177</v>
      </c>
      <c r="L92" s="1">
        <f>+Tabla1[[#This Row],[Unidades]]*Tabla1[[#This Row],[Costo Unitario]]</f>
        <v>4176</v>
      </c>
      <c r="M92">
        <f>+Tabla1[[#This Row],[Valor FOB (Free On Board]]-Tabla1[[#This Row],[Costo total]]</f>
        <v>2001</v>
      </c>
      <c r="N92">
        <f>+Tabla1[[#This Row],[Utilidad:]]/Tabla1[[#This Row],[Valor FOB (Free On Board]]</f>
        <v>0.323943661971831</v>
      </c>
      <c r="O92" t="str">
        <f>+IF(Tabla1[[#This Row],[Valor FOB (Free On Board]]&gt;=10000, "Grande", IF(Tabla1[[#This Row],[Valor FOB (Free On Board]]&gt;=5000, "Mediano", "Pequeno"))</f>
        <v>Mediano</v>
      </c>
      <c r="P92" t="str">
        <f>VLOOKUP(Tabla1[[#This Row],[País Destino]], '3. Mercados'!$C$4:$F$9, 4, FALSE)</f>
        <v>Potencial</v>
      </c>
      <c r="Q92" t="str">
        <f>IF(AND(Tabla1[[#This Row],[Tipo de Mercado]]="Estratégico", Tabla1[[#This Row],[Margen]]&gt;=30%), "Alta", IF(AND(Tabla1[[#This Row],[Tipo de Mercado]]="Estratégico", Tabla1[[#This Row],[Margen]]&lt;30%), "Media", IF(AND(Tabla1[[#This Row],[Tipo de Mercado]]="Potencial", Tabla1[[#This Row],[Margen]]&gt;=30%), "Media", "Baja")))</f>
        <v>Media</v>
      </c>
    </row>
    <row r="93" spans="2:18" hidden="1" x14ac:dyDescent="0.3">
      <c r="B93" s="9" t="s">
        <v>124</v>
      </c>
      <c r="C93" s="8">
        <v>46059</v>
      </c>
      <c r="D93" s="1" t="s">
        <v>37</v>
      </c>
      <c r="E93" s="6" t="s">
        <v>38</v>
      </c>
      <c r="F93" s="1" t="s">
        <v>39</v>
      </c>
      <c r="G93" s="1">
        <v>480</v>
      </c>
      <c r="H93" s="1">
        <v>12.5</v>
      </c>
      <c r="I93" s="1">
        <v>8.6999999999999993</v>
      </c>
      <c r="J93" s="10" t="s">
        <v>21</v>
      </c>
      <c r="K93" s="1">
        <f>+Tabla1[[#This Row],[Unidades]]*Tabla1[[#This Row],[Precio FOB]]</f>
        <v>6000</v>
      </c>
      <c r="L93" s="1">
        <f>+Tabla1[[#This Row],[Unidades]]*Tabla1[[#This Row],[Costo Unitario]]</f>
        <v>4176</v>
      </c>
      <c r="M93">
        <f>+Tabla1[[#This Row],[Valor FOB (Free On Board]]-Tabla1[[#This Row],[Costo total]]</f>
        <v>1824</v>
      </c>
      <c r="N93">
        <f>+Tabla1[[#This Row],[Utilidad:]]/Tabla1[[#This Row],[Valor FOB (Free On Board]]</f>
        <v>0.30399999999999999</v>
      </c>
      <c r="O93" t="str">
        <f>+IF(Tabla1[[#This Row],[Valor FOB (Free On Board]]&gt;=10000, "Grande", IF(Tabla1[[#This Row],[Valor FOB (Free On Board]]&gt;=5000, "Mediano", "Pequeno"))</f>
        <v>Mediano</v>
      </c>
      <c r="P93" t="str">
        <f>VLOOKUP(Tabla1[[#This Row],[País Destino]], '3. Mercados'!$C$4:$F$9, 4, FALSE)</f>
        <v>Potencial</v>
      </c>
      <c r="Q93" t="str">
        <f>IF(AND(Tabla1[[#This Row],[Tipo de Mercado]]="Estratégico", Tabla1[[#This Row],[Margen]]&gt;=30%), "Alta", IF(AND(Tabla1[[#This Row],[Tipo de Mercado]]="Estratégico", Tabla1[[#This Row],[Margen]]&lt;30%), "Media", IF(AND(Tabla1[[#This Row],[Tipo de Mercado]]="Potencial", Tabla1[[#This Row],[Margen]]&gt;=30%), "Media", "Baja")))</f>
        <v>Media</v>
      </c>
    </row>
    <row r="94" spans="2:18" x14ac:dyDescent="0.3">
      <c r="B94" s="9" t="s">
        <v>125</v>
      </c>
      <c r="C94" s="8">
        <v>46068</v>
      </c>
      <c r="D94" s="1" t="s">
        <v>23</v>
      </c>
      <c r="E94" s="6" t="s">
        <v>24</v>
      </c>
      <c r="F94" s="1" t="s">
        <v>25</v>
      </c>
      <c r="G94" s="1">
        <v>1260</v>
      </c>
      <c r="H94" s="1">
        <v>6.5</v>
      </c>
      <c r="I94" s="1">
        <v>4.0999999999999996</v>
      </c>
      <c r="J94" s="10" t="s">
        <v>26</v>
      </c>
      <c r="K94" s="27">
        <f>+Tabla1[[#This Row],[Unidades]]*Tabla1[[#This Row],[Precio FOB]]</f>
        <v>8190</v>
      </c>
      <c r="L94" s="27">
        <f>+Tabla1[[#This Row],[Unidades]]*Tabla1[[#This Row],[Costo Unitario]]</f>
        <v>5166</v>
      </c>
      <c r="M94" s="29">
        <f>+Tabla1[[#This Row],[Valor FOB (Free On Board]]-Tabla1[[#This Row],[Costo total]]</f>
        <v>3024</v>
      </c>
      <c r="N94">
        <f>+Tabla1[[#This Row],[Utilidad:]]/Tabla1[[#This Row],[Valor FOB (Free On Board]]</f>
        <v>0.36923076923076925</v>
      </c>
      <c r="O94" t="str">
        <f>+IF(Tabla1[[#This Row],[Valor FOB (Free On Board]]&gt;=10000, "Grande", IF(Tabla1[[#This Row],[Valor FOB (Free On Board]]&gt;=5000, "Mediano", "Pequeno"))</f>
        <v>Mediano</v>
      </c>
      <c r="P94" t="str">
        <f>VLOOKUP(Tabla1[[#This Row],[País Destino]], '3. Mercados'!$C$4:$F$9, 4, FALSE)</f>
        <v>Estratégico</v>
      </c>
      <c r="Q94" t="str">
        <f>IF(AND(Tabla1[[#This Row],[Tipo de Mercado]]="Estratégico", Tabla1[[#This Row],[Margen]]&gt;=30%), "Alta", IF(AND(Tabla1[[#This Row],[Tipo de Mercado]]="Estratégico", Tabla1[[#This Row],[Margen]]&lt;30%), "Media", IF(AND(Tabla1[[#This Row],[Tipo de Mercado]]="Potencial", Tabla1[[#This Row],[Margen]]&gt;=30%), "Media", "Baja")))</f>
        <v>Alta</v>
      </c>
      <c r="R94" t="str">
        <f>VLOOKUP(Tabla1[[#This Row],[País Destino]], '3. Mercados'!$C$4:$F$9, 2, FALSE)</f>
        <v>Norteamérica</v>
      </c>
    </row>
    <row r="95" spans="2:18" hidden="1" x14ac:dyDescent="0.3">
      <c r="B95" s="9" t="s">
        <v>126</v>
      </c>
      <c r="C95" s="8">
        <v>46077</v>
      </c>
      <c r="D95" s="1" t="s">
        <v>18</v>
      </c>
      <c r="E95" s="6" t="s">
        <v>19</v>
      </c>
      <c r="F95" s="1" t="s">
        <v>20</v>
      </c>
      <c r="G95" s="1">
        <v>1100</v>
      </c>
      <c r="H95" s="1">
        <v>4.8</v>
      </c>
      <c r="I95" s="1">
        <v>3.2</v>
      </c>
      <c r="J95" s="10" t="s">
        <v>21</v>
      </c>
      <c r="K95" s="1">
        <f>+Tabla1[[#This Row],[Unidades]]*Tabla1[[#This Row],[Precio FOB]]</f>
        <v>5280</v>
      </c>
      <c r="L95" s="1">
        <f>+Tabla1[[#This Row],[Unidades]]*Tabla1[[#This Row],[Costo Unitario]]</f>
        <v>3520</v>
      </c>
      <c r="M95">
        <f>+Tabla1[[#This Row],[Valor FOB (Free On Board]]-Tabla1[[#This Row],[Costo total]]</f>
        <v>1760</v>
      </c>
      <c r="N95">
        <f>+Tabla1[[#This Row],[Utilidad:]]/Tabla1[[#This Row],[Valor FOB (Free On Board]]</f>
        <v>0.33333333333333331</v>
      </c>
      <c r="O95" t="str">
        <f>+IF(Tabla1[[#This Row],[Valor FOB (Free On Board]]&gt;=10000, "Grande", IF(Tabla1[[#This Row],[Valor FOB (Free On Board]]&gt;=5000, "Mediano", "Pequeno"))</f>
        <v>Mediano</v>
      </c>
      <c r="P95" t="str">
        <f>VLOOKUP(Tabla1[[#This Row],[País Destino]], '3. Mercados'!$C$4:$F$9, 4, FALSE)</f>
        <v>Estratégico</v>
      </c>
      <c r="Q95" t="str">
        <f>IF(AND(Tabla1[[#This Row],[Tipo de Mercado]]="Estratégico", Tabla1[[#This Row],[Margen]]&gt;=30%), "Alta", IF(AND(Tabla1[[#This Row],[Tipo de Mercado]]="Estratégico", Tabla1[[#This Row],[Margen]]&lt;30%), "Media", IF(AND(Tabla1[[#This Row],[Tipo de Mercado]]="Potencial", Tabla1[[#This Row],[Margen]]&gt;=30%), "Media", "Baja")))</f>
        <v>Alta</v>
      </c>
    </row>
    <row r="96" spans="2:18" hidden="1" x14ac:dyDescent="0.3">
      <c r="B96" s="9" t="s">
        <v>127</v>
      </c>
      <c r="C96" s="8">
        <v>46086</v>
      </c>
      <c r="D96" s="1" t="s">
        <v>28</v>
      </c>
      <c r="E96" s="6" t="s">
        <v>38</v>
      </c>
      <c r="F96" s="1" t="s">
        <v>30</v>
      </c>
      <c r="G96" s="1">
        <v>570</v>
      </c>
      <c r="H96" s="1">
        <v>12.5</v>
      </c>
      <c r="I96" s="1">
        <v>8.6999999999999993</v>
      </c>
      <c r="J96" s="10" t="s">
        <v>26</v>
      </c>
      <c r="K96" s="1">
        <f>+Tabla1[[#This Row],[Unidades]]*Tabla1[[#This Row],[Precio FOB]]</f>
        <v>7125</v>
      </c>
      <c r="L96" s="1">
        <f>+Tabla1[[#This Row],[Unidades]]*Tabla1[[#This Row],[Costo Unitario]]</f>
        <v>4959</v>
      </c>
      <c r="M96">
        <f>+Tabla1[[#This Row],[Valor FOB (Free On Board]]-Tabla1[[#This Row],[Costo total]]</f>
        <v>2166</v>
      </c>
      <c r="N96">
        <f>+Tabla1[[#This Row],[Utilidad:]]/Tabla1[[#This Row],[Valor FOB (Free On Board]]</f>
        <v>0.30399999999999999</v>
      </c>
      <c r="O96" t="str">
        <f>+IF(Tabla1[[#This Row],[Valor FOB (Free On Board]]&gt;=10000, "Grande", IF(Tabla1[[#This Row],[Valor FOB (Free On Board]]&gt;=5000, "Mediano", "Pequeno"))</f>
        <v>Mediano</v>
      </c>
      <c r="P96" t="str">
        <f>VLOOKUP(Tabla1[[#This Row],[País Destino]], '3. Mercados'!$C$4:$F$9, 4, FALSE)</f>
        <v>Estratégico</v>
      </c>
      <c r="Q96" t="str">
        <f>IF(AND(Tabla1[[#This Row],[Tipo de Mercado]]="Estratégico", Tabla1[[#This Row],[Margen]]&gt;=30%), "Alta", IF(AND(Tabla1[[#This Row],[Tipo de Mercado]]="Estratégico", Tabla1[[#This Row],[Margen]]&lt;30%), "Media", IF(AND(Tabla1[[#This Row],[Tipo de Mercado]]="Potencial", Tabla1[[#This Row],[Margen]]&gt;=30%), "Media", "Baja")))</f>
        <v>Alta</v>
      </c>
    </row>
    <row r="97" spans="2:18" hidden="1" x14ac:dyDescent="0.3">
      <c r="B97" s="9" t="s">
        <v>128</v>
      </c>
      <c r="C97" s="8">
        <v>46095</v>
      </c>
      <c r="D97" s="1" t="s">
        <v>32</v>
      </c>
      <c r="E97" s="6" t="s">
        <v>29</v>
      </c>
      <c r="F97" s="1" t="s">
        <v>34</v>
      </c>
      <c r="G97" s="1">
        <v>880</v>
      </c>
      <c r="H97" s="1">
        <v>8.1999999999999993</v>
      </c>
      <c r="I97" s="1">
        <v>5.9</v>
      </c>
      <c r="J97" s="10" t="s">
        <v>21</v>
      </c>
      <c r="K97" s="1">
        <f>+Tabla1[[#This Row],[Unidades]]*Tabla1[[#This Row],[Precio FOB]]</f>
        <v>7215.9999999999991</v>
      </c>
      <c r="L97" s="1">
        <f>+Tabla1[[#This Row],[Unidades]]*Tabla1[[#This Row],[Costo Unitario]]</f>
        <v>5192</v>
      </c>
      <c r="M97">
        <f>+Tabla1[[#This Row],[Valor FOB (Free On Board]]-Tabla1[[#This Row],[Costo total]]</f>
        <v>2023.9999999999991</v>
      </c>
      <c r="N97">
        <f>+Tabla1[[#This Row],[Utilidad:]]/Tabla1[[#This Row],[Valor FOB (Free On Board]]</f>
        <v>0.2804878048780487</v>
      </c>
      <c r="O97" t="str">
        <f>+IF(Tabla1[[#This Row],[Valor FOB (Free On Board]]&gt;=10000, "Grande", IF(Tabla1[[#This Row],[Valor FOB (Free On Board]]&gt;=5000, "Mediano", "Pequeno"))</f>
        <v>Mediano</v>
      </c>
      <c r="P97" t="str">
        <f>VLOOKUP(Tabla1[[#This Row],[País Destino]], '3. Mercados'!$C$4:$F$9, 4, FALSE)</f>
        <v>Potencial</v>
      </c>
      <c r="Q97" t="str">
        <f>IF(AND(Tabla1[[#This Row],[Tipo de Mercado]]="Estratégico", Tabla1[[#This Row],[Margen]]&gt;=30%), "Alta", IF(AND(Tabla1[[#This Row],[Tipo de Mercado]]="Estratégico", Tabla1[[#This Row],[Margen]]&lt;30%), "Media", IF(AND(Tabla1[[#This Row],[Tipo de Mercado]]="Potencial", Tabla1[[#This Row],[Margen]]&gt;=30%), "Media", "Baja")))</f>
        <v>Baja</v>
      </c>
    </row>
    <row r="98" spans="2:18" hidden="1" x14ac:dyDescent="0.3">
      <c r="B98" s="9" t="s">
        <v>129</v>
      </c>
      <c r="C98" s="8">
        <v>46104</v>
      </c>
      <c r="D98" s="1" t="s">
        <v>37</v>
      </c>
      <c r="E98" s="6" t="s">
        <v>33</v>
      </c>
      <c r="F98" s="1" t="s">
        <v>39</v>
      </c>
      <c r="G98" s="1">
        <v>1060</v>
      </c>
      <c r="H98" s="1">
        <v>7.1</v>
      </c>
      <c r="I98" s="1">
        <v>4.8</v>
      </c>
      <c r="J98" s="10" t="s">
        <v>26</v>
      </c>
      <c r="K98" s="1">
        <f>+Tabla1[[#This Row],[Unidades]]*Tabla1[[#This Row],[Precio FOB]]</f>
        <v>7526</v>
      </c>
      <c r="L98" s="1">
        <f>+Tabla1[[#This Row],[Unidades]]*Tabla1[[#This Row],[Costo Unitario]]</f>
        <v>5088</v>
      </c>
      <c r="M98">
        <f>+Tabla1[[#This Row],[Valor FOB (Free On Board]]-Tabla1[[#This Row],[Costo total]]</f>
        <v>2438</v>
      </c>
      <c r="N98">
        <f>+Tabla1[[#This Row],[Utilidad:]]/Tabla1[[#This Row],[Valor FOB (Free On Board]]</f>
        <v>0.323943661971831</v>
      </c>
      <c r="O98" t="str">
        <f>+IF(Tabla1[[#This Row],[Valor FOB (Free On Board]]&gt;=10000, "Grande", IF(Tabla1[[#This Row],[Valor FOB (Free On Board]]&gt;=5000, "Mediano", "Pequeno"))</f>
        <v>Mediano</v>
      </c>
      <c r="P98" t="str">
        <f>VLOOKUP(Tabla1[[#This Row],[País Destino]], '3. Mercados'!$C$4:$F$9, 4, FALSE)</f>
        <v>Potencial</v>
      </c>
      <c r="Q98" t="str">
        <f>IF(AND(Tabla1[[#This Row],[Tipo de Mercado]]="Estratégico", Tabla1[[#This Row],[Margen]]&gt;=30%), "Alta", IF(AND(Tabla1[[#This Row],[Tipo de Mercado]]="Estratégico", Tabla1[[#This Row],[Margen]]&lt;30%), "Media", IF(AND(Tabla1[[#This Row],[Tipo de Mercado]]="Potencial", Tabla1[[#This Row],[Margen]]&gt;=30%), "Media", "Baja")))</f>
        <v>Media</v>
      </c>
    </row>
    <row r="99" spans="2:18" hidden="1" x14ac:dyDescent="0.3">
      <c r="B99" s="9" t="s">
        <v>130</v>
      </c>
      <c r="C99" s="8">
        <v>46114</v>
      </c>
      <c r="D99" s="1" t="s">
        <v>23</v>
      </c>
      <c r="E99" s="6" t="s">
        <v>19</v>
      </c>
      <c r="F99" s="1" t="s">
        <v>25</v>
      </c>
      <c r="G99" s="1">
        <v>1490</v>
      </c>
      <c r="H99" s="1">
        <v>4.8</v>
      </c>
      <c r="I99" s="1">
        <v>3.2</v>
      </c>
      <c r="J99" s="10" t="s">
        <v>35</v>
      </c>
      <c r="K99" s="1">
        <f>+Tabla1[[#This Row],[Unidades]]*Tabla1[[#This Row],[Precio FOB]]</f>
        <v>7152</v>
      </c>
      <c r="L99" s="1">
        <f>+Tabla1[[#This Row],[Unidades]]*Tabla1[[#This Row],[Costo Unitario]]</f>
        <v>4768</v>
      </c>
      <c r="M99">
        <f>+Tabla1[[#This Row],[Valor FOB (Free On Board]]-Tabla1[[#This Row],[Costo total]]</f>
        <v>2384</v>
      </c>
      <c r="N99">
        <f>+Tabla1[[#This Row],[Utilidad:]]/Tabla1[[#This Row],[Valor FOB (Free On Board]]</f>
        <v>0.33333333333333331</v>
      </c>
      <c r="O99" t="str">
        <f>+IF(Tabla1[[#This Row],[Valor FOB (Free On Board]]&gt;=10000, "Grande", IF(Tabla1[[#This Row],[Valor FOB (Free On Board]]&gt;=5000, "Mediano", "Pequeno"))</f>
        <v>Mediano</v>
      </c>
      <c r="P99" t="str">
        <f>VLOOKUP(Tabla1[[#This Row],[País Destino]], '3. Mercados'!$C$4:$F$9, 4, FALSE)</f>
        <v>Estratégico</v>
      </c>
      <c r="Q99" t="str">
        <f>IF(AND(Tabla1[[#This Row],[Tipo de Mercado]]="Estratégico", Tabla1[[#This Row],[Margen]]&gt;=30%), "Alta", IF(AND(Tabla1[[#This Row],[Tipo de Mercado]]="Estratégico", Tabla1[[#This Row],[Margen]]&lt;30%), "Media", IF(AND(Tabla1[[#This Row],[Tipo de Mercado]]="Potencial", Tabla1[[#This Row],[Margen]]&gt;=30%), "Media", "Baja")))</f>
        <v>Alta</v>
      </c>
    </row>
    <row r="100" spans="2:18" x14ac:dyDescent="0.3">
      <c r="B100" s="9" t="s">
        <v>131</v>
      </c>
      <c r="C100" s="8">
        <v>46123</v>
      </c>
      <c r="D100" s="1" t="s">
        <v>18</v>
      </c>
      <c r="E100" s="6" t="s">
        <v>24</v>
      </c>
      <c r="F100" s="1" t="s">
        <v>20</v>
      </c>
      <c r="G100" s="1">
        <v>910</v>
      </c>
      <c r="H100" s="1">
        <v>6.5</v>
      </c>
      <c r="I100" s="1">
        <v>4.0999999999999996</v>
      </c>
      <c r="J100" s="10" t="s">
        <v>21</v>
      </c>
      <c r="K100" s="27">
        <f>+Tabla1[[#This Row],[Unidades]]*Tabla1[[#This Row],[Precio FOB]]</f>
        <v>5915</v>
      </c>
      <c r="L100" s="27">
        <f>+Tabla1[[#This Row],[Unidades]]*Tabla1[[#This Row],[Costo Unitario]]</f>
        <v>3730.9999999999995</v>
      </c>
      <c r="M100" s="29">
        <f>+Tabla1[[#This Row],[Valor FOB (Free On Board]]-Tabla1[[#This Row],[Costo total]]</f>
        <v>2184.0000000000005</v>
      </c>
      <c r="N100">
        <f>+Tabla1[[#This Row],[Utilidad:]]/Tabla1[[#This Row],[Valor FOB (Free On Board]]</f>
        <v>0.36923076923076931</v>
      </c>
      <c r="O100" t="str">
        <f>+IF(Tabla1[[#This Row],[Valor FOB (Free On Board]]&gt;=10000, "Grande", IF(Tabla1[[#This Row],[Valor FOB (Free On Board]]&gt;=5000, "Mediano", "Pequeno"))</f>
        <v>Mediano</v>
      </c>
      <c r="P100" t="str">
        <f>VLOOKUP(Tabla1[[#This Row],[País Destino]], '3. Mercados'!$C$4:$F$9, 4, FALSE)</f>
        <v>Estratégico</v>
      </c>
      <c r="Q100" t="str">
        <f>IF(AND(Tabla1[[#This Row],[Tipo de Mercado]]="Estratégico", Tabla1[[#This Row],[Margen]]&gt;=30%), "Alta", IF(AND(Tabla1[[#This Row],[Tipo de Mercado]]="Estratégico", Tabla1[[#This Row],[Margen]]&lt;30%), "Media", IF(AND(Tabla1[[#This Row],[Tipo de Mercado]]="Potencial", Tabla1[[#This Row],[Margen]]&gt;=30%), "Media", "Baja")))</f>
        <v>Alta</v>
      </c>
      <c r="R100" t="str">
        <f>VLOOKUP(Tabla1[[#This Row],[País Destino]], '3. Mercados'!$C$4:$F$9, 2, FALSE)</f>
        <v>Centroamérica</v>
      </c>
    </row>
    <row r="101" spans="2:18" hidden="1" x14ac:dyDescent="0.3">
      <c r="B101" s="9" t="s">
        <v>132</v>
      </c>
      <c r="C101" s="8">
        <v>46132</v>
      </c>
      <c r="D101" s="1" t="s">
        <v>28</v>
      </c>
      <c r="E101" s="6" t="s">
        <v>29</v>
      </c>
      <c r="F101" s="1" t="s">
        <v>30</v>
      </c>
      <c r="G101" s="1">
        <v>740</v>
      </c>
      <c r="H101" s="1">
        <v>8.1999999999999993</v>
      </c>
      <c r="I101" s="1">
        <v>5.9</v>
      </c>
      <c r="J101" s="10" t="s">
        <v>26</v>
      </c>
      <c r="K101" s="1">
        <f>+Tabla1[[#This Row],[Unidades]]*Tabla1[[#This Row],[Precio FOB]]</f>
        <v>6067.9999999999991</v>
      </c>
      <c r="L101" s="1">
        <f>+Tabla1[[#This Row],[Unidades]]*Tabla1[[#This Row],[Costo Unitario]]</f>
        <v>4366</v>
      </c>
      <c r="M101">
        <f>+Tabla1[[#This Row],[Valor FOB (Free On Board]]-Tabla1[[#This Row],[Costo total]]</f>
        <v>1701.9999999999991</v>
      </c>
      <c r="N101">
        <f>+Tabla1[[#This Row],[Utilidad:]]/Tabla1[[#This Row],[Valor FOB (Free On Board]]</f>
        <v>0.2804878048780487</v>
      </c>
      <c r="O101" t="str">
        <f>+IF(Tabla1[[#This Row],[Valor FOB (Free On Board]]&gt;=10000, "Grande", IF(Tabla1[[#This Row],[Valor FOB (Free On Board]]&gt;=5000, "Mediano", "Pequeno"))</f>
        <v>Mediano</v>
      </c>
      <c r="P101" t="str">
        <f>VLOOKUP(Tabla1[[#This Row],[País Destino]], '3. Mercados'!$C$4:$F$9, 4, FALSE)</f>
        <v>Estratégico</v>
      </c>
      <c r="Q101" t="str">
        <f>IF(AND(Tabla1[[#This Row],[Tipo de Mercado]]="Estratégico", Tabla1[[#This Row],[Margen]]&gt;=30%), "Alta", IF(AND(Tabla1[[#This Row],[Tipo de Mercado]]="Estratégico", Tabla1[[#This Row],[Margen]]&lt;30%), "Media", IF(AND(Tabla1[[#This Row],[Tipo de Mercado]]="Potencial", Tabla1[[#This Row],[Margen]]&gt;=30%), "Media", "Baja")))</f>
        <v>Media</v>
      </c>
    </row>
    <row r="102" spans="2:18" hidden="1" x14ac:dyDescent="0.3">
      <c r="B102" s="9" t="s">
        <v>133</v>
      </c>
      <c r="C102" s="8">
        <v>46141</v>
      </c>
      <c r="D102" s="1" t="s">
        <v>32</v>
      </c>
      <c r="E102" s="6" t="s">
        <v>38</v>
      </c>
      <c r="F102" s="1" t="s">
        <v>34</v>
      </c>
      <c r="G102" s="1">
        <v>630</v>
      </c>
      <c r="H102" s="1">
        <v>12.5</v>
      </c>
      <c r="I102" s="1">
        <v>8.6999999999999993</v>
      </c>
      <c r="J102" s="10" t="s">
        <v>21</v>
      </c>
      <c r="K102" s="1">
        <f>+Tabla1[[#This Row],[Unidades]]*Tabla1[[#This Row],[Precio FOB]]</f>
        <v>7875</v>
      </c>
      <c r="L102" s="1">
        <f>+Tabla1[[#This Row],[Unidades]]*Tabla1[[#This Row],[Costo Unitario]]</f>
        <v>5481</v>
      </c>
      <c r="M102">
        <f>+Tabla1[[#This Row],[Valor FOB (Free On Board]]-Tabla1[[#This Row],[Costo total]]</f>
        <v>2394</v>
      </c>
      <c r="N102">
        <f>+Tabla1[[#This Row],[Utilidad:]]/Tabla1[[#This Row],[Valor FOB (Free On Board]]</f>
        <v>0.30399999999999999</v>
      </c>
      <c r="O102" t="str">
        <f>+IF(Tabla1[[#This Row],[Valor FOB (Free On Board]]&gt;=10000, "Grande", IF(Tabla1[[#This Row],[Valor FOB (Free On Board]]&gt;=5000, "Mediano", "Pequeno"))</f>
        <v>Mediano</v>
      </c>
      <c r="P102" t="str">
        <f>VLOOKUP(Tabla1[[#This Row],[País Destino]], '3. Mercados'!$C$4:$F$9, 4, FALSE)</f>
        <v>Potencial</v>
      </c>
      <c r="Q102" t="str">
        <f>IF(AND(Tabla1[[#This Row],[Tipo de Mercado]]="Estratégico", Tabla1[[#This Row],[Margen]]&gt;=30%), "Alta", IF(AND(Tabla1[[#This Row],[Tipo de Mercado]]="Estratégico", Tabla1[[#This Row],[Margen]]&lt;30%), "Media", IF(AND(Tabla1[[#This Row],[Tipo de Mercado]]="Potencial", Tabla1[[#This Row],[Margen]]&gt;=30%), "Media", "Baja")))</f>
        <v>Media</v>
      </c>
    </row>
    <row r="103" spans="2:18" x14ac:dyDescent="0.3">
      <c r="B103" s="14" t="s">
        <v>134</v>
      </c>
      <c r="C103" s="15">
        <v>46150</v>
      </c>
      <c r="D103" s="16" t="s">
        <v>37</v>
      </c>
      <c r="E103" s="17" t="s">
        <v>24</v>
      </c>
      <c r="F103" s="16" t="s">
        <v>39</v>
      </c>
      <c r="G103" s="16">
        <v>1170</v>
      </c>
      <c r="H103" s="16">
        <v>6.5</v>
      </c>
      <c r="I103" s="16">
        <v>4.0999999999999996</v>
      </c>
      <c r="J103" s="18" t="s">
        <v>26</v>
      </c>
      <c r="K103" s="28">
        <f>+Tabla1[[#This Row],[Unidades]]*Tabla1[[#This Row],[Precio FOB]]</f>
        <v>7605</v>
      </c>
      <c r="L103" s="28">
        <f>+Tabla1[[#This Row],[Unidades]]*Tabla1[[#This Row],[Costo Unitario]]</f>
        <v>4797</v>
      </c>
      <c r="M103" s="29">
        <f>+Tabla1[[#This Row],[Valor FOB (Free On Board]]-Tabla1[[#This Row],[Costo total]]</f>
        <v>2808</v>
      </c>
      <c r="N103">
        <f>+Tabla1[[#This Row],[Utilidad:]]/Tabla1[[#This Row],[Valor FOB (Free On Board]]</f>
        <v>0.36923076923076925</v>
      </c>
      <c r="O103" t="str">
        <f>+IF(Tabla1[[#This Row],[Valor FOB (Free On Board]]&gt;=10000, "Grande", IF(Tabla1[[#This Row],[Valor FOB (Free On Board]]&gt;=5000, "Mediano", "Pequeno"))</f>
        <v>Mediano</v>
      </c>
      <c r="P103" t="str">
        <f>VLOOKUP(Tabla1[[#This Row],[País Destino]], '3. Mercados'!$C$4:$F$9, 4, FALSE)</f>
        <v>Potencial</v>
      </c>
      <c r="Q103" t="str">
        <f>IF(AND(Tabla1[[#This Row],[Tipo de Mercado]]="Estratégico", Tabla1[[#This Row],[Margen]]&gt;=30%), "Alta", IF(AND(Tabla1[[#This Row],[Tipo de Mercado]]="Estratégico", Tabla1[[#This Row],[Margen]]&lt;30%), "Media", IF(AND(Tabla1[[#This Row],[Tipo de Mercado]]="Potencial", Tabla1[[#This Row],[Margen]]&gt;=30%), "Media", "Baja")))</f>
        <v>Media</v>
      </c>
      <c r="R103" t="str">
        <f>VLOOKUP(Tabla1[[#This Row],[País Destino]], '3. Mercados'!$C$4:$F$9, 2, FALSE)</f>
        <v>Norteamérica</v>
      </c>
    </row>
    <row r="104" spans="2:18" x14ac:dyDescent="0.3">
      <c r="B104" s="14"/>
      <c r="C104" s="15"/>
      <c r="D104" s="16"/>
      <c r="E104" s="17"/>
      <c r="F104" s="16"/>
      <c r="G104" s="16"/>
      <c r="H104" s="16"/>
      <c r="I104" s="16"/>
      <c r="J104" s="18"/>
      <c r="K104" s="16"/>
      <c r="L104" s="16"/>
      <c r="O104" s="19"/>
      <c r="P104" s="19"/>
      <c r="Q104" s="19"/>
      <c r="R104" s="19"/>
    </row>
    <row r="105" spans="2:18" x14ac:dyDescent="0.3">
      <c r="J105" s="3"/>
    </row>
  </sheetData>
  <pageMargins left="0.7" right="0.7" top="0.75" bottom="0.75" header="0.3" footer="0.3"/>
  <pageSetup paperSize="0" orientation="portrait" horizontalDpi="0" verticalDpi="0" copies="0"/>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ECCA22-8CA1-4505-AFA8-EDB5134406F1}">
  <dimension ref="C2:F8"/>
  <sheetViews>
    <sheetView workbookViewId="0">
      <selection activeCell="M10" sqref="M10"/>
    </sheetView>
  </sheetViews>
  <sheetFormatPr baseColWidth="10" defaultColWidth="11.44140625" defaultRowHeight="14.4" x14ac:dyDescent="0.3"/>
  <cols>
    <col min="3" max="3" width="9.88671875" customWidth="1"/>
    <col min="4" max="4" width="16.33203125" customWidth="1"/>
    <col min="5" max="5" width="10.88671875" customWidth="1"/>
    <col min="6" max="6" width="18.44140625" customWidth="1"/>
    <col min="9" max="9" width="11.44140625" bestFit="1" customWidth="1"/>
    <col min="10" max="10" width="13.5546875" bestFit="1" customWidth="1"/>
    <col min="11" max="11" width="13.6640625" customWidth="1"/>
    <col min="12" max="12" width="22" customWidth="1"/>
  </cols>
  <sheetData>
    <row r="2" spans="3:6" ht="21.6" customHeight="1" x14ac:dyDescent="0.3">
      <c r="C2" s="5" t="s">
        <v>135</v>
      </c>
    </row>
    <row r="3" spans="3:6" x14ac:dyDescent="0.3">
      <c r="C3" s="11" t="s">
        <v>136</v>
      </c>
      <c r="D3" s="12" t="s">
        <v>137</v>
      </c>
      <c r="E3" s="12" t="s">
        <v>138</v>
      </c>
      <c r="F3" s="13" t="s">
        <v>139</v>
      </c>
    </row>
    <row r="4" spans="3:6" x14ac:dyDescent="0.3">
      <c r="C4" s="20" t="s">
        <v>24</v>
      </c>
      <c r="D4" s="1" t="s">
        <v>140</v>
      </c>
      <c r="E4" s="1" t="s">
        <v>141</v>
      </c>
      <c r="F4" s="21" t="s">
        <v>142</v>
      </c>
    </row>
    <row r="5" spans="3:6" x14ac:dyDescent="0.3">
      <c r="C5" s="20" t="s">
        <v>33</v>
      </c>
      <c r="D5" s="1" t="s">
        <v>143</v>
      </c>
      <c r="E5" s="1" t="s">
        <v>144</v>
      </c>
      <c r="F5" s="21" t="s">
        <v>142</v>
      </c>
    </row>
    <row r="6" spans="3:6" x14ac:dyDescent="0.3">
      <c r="C6" s="20" t="s">
        <v>19</v>
      </c>
      <c r="D6" s="1" t="s">
        <v>145</v>
      </c>
      <c r="E6" s="1" t="s">
        <v>146</v>
      </c>
      <c r="F6" s="21" t="s">
        <v>142</v>
      </c>
    </row>
    <row r="7" spans="3:6" x14ac:dyDescent="0.3">
      <c r="C7" s="20" t="s">
        <v>29</v>
      </c>
      <c r="D7" s="1" t="s">
        <v>147</v>
      </c>
      <c r="E7" s="1" t="s">
        <v>148</v>
      </c>
      <c r="F7" s="21" t="s">
        <v>142</v>
      </c>
    </row>
    <row r="8" spans="3:6" x14ac:dyDescent="0.3">
      <c r="C8" s="22" t="s">
        <v>38</v>
      </c>
      <c r="D8" s="16" t="s">
        <v>149</v>
      </c>
      <c r="E8" s="16" t="s">
        <v>150</v>
      </c>
      <c r="F8" s="23" t="s">
        <v>151</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8AC060-8092-4881-9A24-B90AA1726740}">
  <dimension ref="C2:F9"/>
  <sheetViews>
    <sheetView workbookViewId="0">
      <selection activeCell="D4" sqref="D4"/>
    </sheetView>
  </sheetViews>
  <sheetFormatPr baseColWidth="10" defaultColWidth="11.44140625" defaultRowHeight="14.4" x14ac:dyDescent="0.3"/>
  <cols>
    <col min="4" max="4" width="14.44140625" customWidth="1"/>
    <col min="12" max="12" width="10" customWidth="1"/>
    <col min="13" max="13" width="23.44140625" customWidth="1"/>
    <col min="14" max="14" width="12.109375" customWidth="1"/>
    <col min="16" max="16" width="31.44140625" customWidth="1"/>
    <col min="17" max="18" width="8.88671875" customWidth="1"/>
    <col min="19" max="19" width="11.109375" customWidth="1"/>
    <col min="20" max="20" width="11.44140625" customWidth="1"/>
    <col min="22" max="22" width="32.5546875" customWidth="1"/>
    <col min="23" max="23" width="10.88671875" customWidth="1"/>
    <col min="24" max="24" width="14.44140625" customWidth="1"/>
  </cols>
  <sheetData>
    <row r="2" spans="3:6" ht="16.95" customHeight="1" x14ac:dyDescent="0.3">
      <c r="C2" s="5" t="s">
        <v>152</v>
      </c>
    </row>
    <row r="3" spans="3:6" x14ac:dyDescent="0.3">
      <c r="C3" s="4" t="s">
        <v>153</v>
      </c>
      <c r="D3" s="4" t="s">
        <v>16</v>
      </c>
      <c r="E3" s="4" t="s">
        <v>154</v>
      </c>
      <c r="F3" s="4" t="s">
        <v>13</v>
      </c>
    </row>
    <row r="4" spans="3:6" x14ac:dyDescent="0.3">
      <c r="C4" s="1" t="s">
        <v>25</v>
      </c>
      <c r="D4" s="1" t="s">
        <v>155</v>
      </c>
      <c r="E4" s="7">
        <v>0.05</v>
      </c>
      <c r="F4" s="1" t="s">
        <v>156</v>
      </c>
    </row>
    <row r="5" spans="3:6" x14ac:dyDescent="0.3">
      <c r="C5" s="1" t="s">
        <v>39</v>
      </c>
      <c r="D5" s="1" t="s">
        <v>155</v>
      </c>
      <c r="E5" s="7">
        <v>0.08</v>
      </c>
      <c r="F5" s="1" t="s">
        <v>157</v>
      </c>
    </row>
    <row r="6" spans="3:6" x14ac:dyDescent="0.3">
      <c r="C6" s="1" t="s">
        <v>20</v>
      </c>
      <c r="D6" s="1" t="s">
        <v>158</v>
      </c>
      <c r="E6" s="7">
        <v>0.03</v>
      </c>
      <c r="F6" s="1" t="s">
        <v>156</v>
      </c>
    </row>
    <row r="7" spans="3:6" x14ac:dyDescent="0.3">
      <c r="C7" s="1" t="s">
        <v>30</v>
      </c>
      <c r="D7" s="1" t="s">
        <v>158</v>
      </c>
      <c r="E7" s="7">
        <v>0.02</v>
      </c>
      <c r="F7" s="1" t="s">
        <v>156</v>
      </c>
    </row>
    <row r="8" spans="3:6" x14ac:dyDescent="0.3">
      <c r="C8" s="1" t="s">
        <v>159</v>
      </c>
      <c r="D8" s="1" t="s">
        <v>158</v>
      </c>
      <c r="E8" s="7">
        <v>0.02</v>
      </c>
      <c r="F8" s="1" t="s">
        <v>157</v>
      </c>
    </row>
    <row r="9" spans="3:6" x14ac:dyDescent="0.3">
      <c r="C9" s="1" t="s">
        <v>34</v>
      </c>
      <c r="D9" s="1" t="s">
        <v>160</v>
      </c>
      <c r="E9" s="7">
        <v>0.1</v>
      </c>
      <c r="F9" s="1" t="s">
        <v>157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3D2328-62AE-406A-AEE2-D73311801781}">
  <dimension ref="B2:E37"/>
  <sheetViews>
    <sheetView tabSelected="1" topLeftCell="A10" workbookViewId="0">
      <selection activeCell="B24" sqref="B24:D29"/>
    </sheetView>
  </sheetViews>
  <sheetFormatPr baseColWidth="10" defaultColWidth="11.44140625" defaultRowHeight="14.4" x14ac:dyDescent="0.3"/>
  <cols>
    <col min="2" max="2" width="16.5546875" customWidth="1"/>
    <col min="3" max="3" width="48" bestFit="1" customWidth="1"/>
    <col min="4" max="4" width="50" bestFit="1" customWidth="1"/>
    <col min="5" max="6" width="12.44140625" bestFit="1" customWidth="1"/>
    <col min="7" max="7" width="13.6640625" customWidth="1"/>
  </cols>
  <sheetData>
    <row r="2" spans="2:4" x14ac:dyDescent="0.3">
      <c r="B2" s="30" t="s">
        <v>161</v>
      </c>
      <c r="C2" s="30" t="s">
        <v>162</v>
      </c>
      <c r="D2" s="30" t="s">
        <v>163</v>
      </c>
    </row>
    <row r="3" spans="2:4" x14ac:dyDescent="0.3">
      <c r="B3" s="2">
        <v>1</v>
      </c>
      <c r="C3" s="26" t="s">
        <v>164</v>
      </c>
      <c r="D3" s="2" t="s">
        <v>165</v>
      </c>
    </row>
    <row r="4" spans="2:4" x14ac:dyDescent="0.3">
      <c r="B4" s="2">
        <v>2</v>
      </c>
      <c r="C4" s="26" t="s">
        <v>166</v>
      </c>
      <c r="D4" s="2" t="s">
        <v>167</v>
      </c>
    </row>
    <row r="5" spans="2:4" x14ac:dyDescent="0.3">
      <c r="B5" s="2">
        <v>3</v>
      </c>
      <c r="C5" s="26" t="s">
        <v>168</v>
      </c>
      <c r="D5" s="2" t="s">
        <v>169</v>
      </c>
    </row>
    <row r="6" spans="2:4" x14ac:dyDescent="0.3">
      <c r="B6" s="2">
        <v>4</v>
      </c>
      <c r="C6" s="26" t="s">
        <v>170</v>
      </c>
      <c r="D6" s="2" t="s">
        <v>171</v>
      </c>
    </row>
    <row r="7" spans="2:4" x14ac:dyDescent="0.3">
      <c r="B7" s="2">
        <v>5</v>
      </c>
      <c r="C7" s="26" t="s">
        <v>172</v>
      </c>
      <c r="D7" s="2" t="s">
        <v>173</v>
      </c>
    </row>
    <row r="8" spans="2:4" x14ac:dyDescent="0.3">
      <c r="B8" s="2">
        <v>6</v>
      </c>
      <c r="C8" s="26" t="s">
        <v>174</v>
      </c>
      <c r="D8" s="2" t="s">
        <v>175</v>
      </c>
    </row>
    <row r="9" spans="2:4" x14ac:dyDescent="0.3">
      <c r="B9" s="2">
        <v>7</v>
      </c>
      <c r="C9" s="26" t="s">
        <v>176</v>
      </c>
      <c r="D9" s="2" t="s">
        <v>177</v>
      </c>
    </row>
    <row r="10" spans="2:4" ht="15.75" customHeight="1" x14ac:dyDescent="0.3">
      <c r="B10" s="2">
        <v>8</v>
      </c>
      <c r="C10" s="26" t="s">
        <v>178</v>
      </c>
      <c r="D10" s="2" t="s">
        <v>179</v>
      </c>
    </row>
    <row r="11" spans="2:4" x14ac:dyDescent="0.3">
      <c r="B11" s="2">
        <v>9</v>
      </c>
      <c r="C11" s="26" t="s">
        <v>180</v>
      </c>
      <c r="D11" s="2" t="s">
        <v>181</v>
      </c>
    </row>
    <row r="12" spans="2:4" x14ac:dyDescent="0.3">
      <c r="B12" s="2">
        <v>10</v>
      </c>
      <c r="C12" s="26" t="s">
        <v>182</v>
      </c>
      <c r="D12" s="2" t="s">
        <v>183</v>
      </c>
    </row>
    <row r="13" spans="2:4" x14ac:dyDescent="0.3">
      <c r="B13" s="2">
        <v>11</v>
      </c>
      <c r="C13" s="26" t="s">
        <v>184</v>
      </c>
      <c r="D13" s="2" t="s">
        <v>185</v>
      </c>
    </row>
    <row r="16" spans="2:4" x14ac:dyDescent="0.3">
      <c r="B16" s="42" t="s">
        <v>186</v>
      </c>
      <c r="C16" s="41"/>
      <c r="D16" s="41"/>
    </row>
    <row r="17" spans="2:4" x14ac:dyDescent="0.3">
      <c r="B17" s="41" t="s">
        <v>187</v>
      </c>
      <c r="C17" s="41"/>
      <c r="D17" s="41"/>
    </row>
    <row r="18" spans="2:4" x14ac:dyDescent="0.3">
      <c r="B18" s="43" t="s">
        <v>188</v>
      </c>
      <c r="C18" s="43"/>
      <c r="D18" s="43"/>
    </row>
    <row r="19" spans="2:4" x14ac:dyDescent="0.3">
      <c r="B19" s="41" t="s">
        <v>189</v>
      </c>
      <c r="C19" s="41"/>
      <c r="D19" s="41"/>
    </row>
    <row r="21" spans="2:4" x14ac:dyDescent="0.3">
      <c r="C21" s="42" t="s">
        <v>190</v>
      </c>
      <c r="D21" s="41"/>
    </row>
    <row r="24" spans="2:4" x14ac:dyDescent="0.3">
      <c r="B24" s="34" t="s">
        <v>2</v>
      </c>
      <c r="C24" s="36" t="s">
        <v>191</v>
      </c>
      <c r="D24" s="34" t="s">
        <v>192</v>
      </c>
    </row>
    <row r="25" spans="2:4" x14ac:dyDescent="0.3">
      <c r="B25" t="s">
        <v>23</v>
      </c>
      <c r="C25" s="2">
        <v>6</v>
      </c>
      <c r="D25" s="2" t="s">
        <v>193</v>
      </c>
    </row>
    <row r="26" spans="2:4" x14ac:dyDescent="0.3">
      <c r="B26" t="s">
        <v>37</v>
      </c>
      <c r="C26" s="2">
        <v>6</v>
      </c>
      <c r="D26" s="2" t="s">
        <v>194</v>
      </c>
    </row>
    <row r="27" spans="2:4" x14ac:dyDescent="0.3">
      <c r="B27" t="s">
        <v>18</v>
      </c>
      <c r="C27" s="2">
        <v>5</v>
      </c>
      <c r="D27" s="2" t="s">
        <v>195</v>
      </c>
    </row>
    <row r="28" spans="2:4" x14ac:dyDescent="0.3">
      <c r="B28" t="s">
        <v>28</v>
      </c>
      <c r="C28" s="2">
        <v>4</v>
      </c>
      <c r="D28" s="2" t="s">
        <v>196</v>
      </c>
    </row>
    <row r="29" spans="2:4" x14ac:dyDescent="0.3">
      <c r="B29" t="s">
        <v>32</v>
      </c>
      <c r="C29" s="2">
        <v>3</v>
      </c>
      <c r="D29" s="2" t="s">
        <v>197</v>
      </c>
    </row>
    <row r="30" spans="2:4" x14ac:dyDescent="0.3">
      <c r="B30" s="43" t="s">
        <v>198</v>
      </c>
      <c r="C30" s="43"/>
      <c r="D30" s="43"/>
    </row>
    <row r="31" spans="2:4" x14ac:dyDescent="0.3">
      <c r="C31" s="2"/>
      <c r="D31" s="2"/>
    </row>
    <row r="32" spans="2:4" x14ac:dyDescent="0.3">
      <c r="C32" s="43" t="s">
        <v>199</v>
      </c>
      <c r="D32" s="43"/>
    </row>
    <row r="33" spans="2:5" x14ac:dyDescent="0.3">
      <c r="B33" s="30" t="s">
        <v>200</v>
      </c>
      <c r="C33" s="30" t="s">
        <v>2</v>
      </c>
      <c r="D33" s="30" t="s">
        <v>201</v>
      </c>
      <c r="E33" s="30" t="s">
        <v>192</v>
      </c>
    </row>
    <row r="34" spans="2:5" x14ac:dyDescent="0.3">
      <c r="B34" s="30" t="s">
        <v>46</v>
      </c>
      <c r="C34" t="s">
        <v>18</v>
      </c>
      <c r="D34" t="s">
        <v>20</v>
      </c>
      <c r="E34" t="s">
        <v>202</v>
      </c>
    </row>
    <row r="35" spans="2:5" x14ac:dyDescent="0.3">
      <c r="B35" s="30" t="s">
        <v>59</v>
      </c>
      <c r="C35" t="s">
        <v>37</v>
      </c>
      <c r="D35" t="s">
        <v>39</v>
      </c>
      <c r="E35" t="s">
        <v>203</v>
      </c>
    </row>
    <row r="36" spans="2:5" x14ac:dyDescent="0.3">
      <c r="B36" s="30" t="s">
        <v>99</v>
      </c>
      <c r="C36" t="s">
        <v>37</v>
      </c>
      <c r="D36" t="s">
        <v>39</v>
      </c>
      <c r="E36" t="s">
        <v>204</v>
      </c>
    </row>
    <row r="37" spans="2:5" x14ac:dyDescent="0.3">
      <c r="B37" s="30" t="s">
        <v>119</v>
      </c>
      <c r="C37" t="s">
        <v>37</v>
      </c>
      <c r="D37" t="s">
        <v>39</v>
      </c>
      <c r="E37" t="s">
        <v>205</v>
      </c>
    </row>
  </sheetData>
  <mergeCells count="7">
    <mergeCell ref="B17:D17"/>
    <mergeCell ref="B16:D16"/>
    <mergeCell ref="C21:D21"/>
    <mergeCell ref="B30:D30"/>
    <mergeCell ref="C32:D32"/>
    <mergeCell ref="B18:D18"/>
    <mergeCell ref="B19:D19"/>
  </mergeCells>
  <pageMargins left="0.7" right="0.7" top="0.75" bottom="0.75" header="0.3" footer="0.3"/>
  <tableParts count="3">
    <tablePart r:id="rId1"/>
    <tablePart r:id="rId2"/>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79F69B-4C3F-4C48-9852-6ED69A520421}">
  <dimension ref="A1:I61"/>
  <sheetViews>
    <sheetView topLeftCell="A7" workbookViewId="0">
      <selection activeCell="L14" sqref="L13:L14"/>
    </sheetView>
  </sheetViews>
  <sheetFormatPr baseColWidth="10" defaultColWidth="11.44140625" defaultRowHeight="14.4" x14ac:dyDescent="0.3"/>
  <cols>
    <col min="1" max="1" width="18.6640625" bestFit="1" customWidth="1"/>
    <col min="2" max="2" width="32.88671875" bestFit="1" customWidth="1"/>
    <col min="9" max="9" width="52.109375" customWidth="1"/>
  </cols>
  <sheetData>
    <row r="1" spans="1:9" ht="21" x14ac:dyDescent="0.4">
      <c r="A1" s="33" t="s">
        <v>206</v>
      </c>
    </row>
    <row r="3" spans="1:9" ht="72" x14ac:dyDescent="0.3">
      <c r="A3" s="38" t="s">
        <v>207</v>
      </c>
      <c r="B3" s="39" t="s">
        <v>208</v>
      </c>
      <c r="I3" s="37" t="s">
        <v>209</v>
      </c>
    </row>
    <row r="4" spans="1:9" x14ac:dyDescent="0.3">
      <c r="A4" s="26" t="s">
        <v>30</v>
      </c>
      <c r="B4" s="29">
        <v>113544</v>
      </c>
    </row>
    <row r="5" spans="1:9" x14ac:dyDescent="0.3">
      <c r="A5" s="26" t="s">
        <v>25</v>
      </c>
      <c r="B5" s="29">
        <v>168745</v>
      </c>
    </row>
    <row r="6" spans="1:9" x14ac:dyDescent="0.3">
      <c r="A6" s="26" t="s">
        <v>34</v>
      </c>
      <c r="B6" s="29">
        <v>136328</v>
      </c>
    </row>
    <row r="7" spans="1:9" x14ac:dyDescent="0.3">
      <c r="A7" s="26" t="s">
        <v>20</v>
      </c>
      <c r="B7" s="29">
        <v>119335</v>
      </c>
    </row>
    <row r="8" spans="1:9" x14ac:dyDescent="0.3">
      <c r="A8" s="26" t="s">
        <v>39</v>
      </c>
      <c r="B8" s="29">
        <v>120313</v>
      </c>
    </row>
    <row r="9" spans="1:9" x14ac:dyDescent="0.3">
      <c r="A9" s="26" t="s">
        <v>210</v>
      </c>
      <c r="B9" s="29">
        <v>658265</v>
      </c>
    </row>
    <row r="17" spans="1:9" ht="15" thickBot="1" x14ac:dyDescent="0.35">
      <c r="A17" s="31"/>
      <c r="B17" s="31"/>
      <c r="C17" s="31"/>
      <c r="D17" s="31"/>
      <c r="E17" s="31"/>
      <c r="F17" s="31"/>
      <c r="G17" s="31"/>
      <c r="H17" s="31"/>
      <c r="I17" s="31"/>
    </row>
    <row r="18" spans="1:9" ht="21" x14ac:dyDescent="0.4">
      <c r="A18" s="33" t="s">
        <v>211</v>
      </c>
    </row>
    <row r="22" spans="1:9" ht="86.4" x14ac:dyDescent="0.3">
      <c r="I22" s="40" t="s">
        <v>212</v>
      </c>
    </row>
    <row r="24" spans="1:9" x14ac:dyDescent="0.3">
      <c r="A24" s="25" t="s">
        <v>207</v>
      </c>
      <c r="B24" t="s">
        <v>213</v>
      </c>
    </row>
    <row r="25" spans="1:9" x14ac:dyDescent="0.3">
      <c r="A25" s="26" t="s">
        <v>24</v>
      </c>
      <c r="B25" s="29">
        <v>62832</v>
      </c>
    </row>
    <row r="26" spans="1:9" x14ac:dyDescent="0.3">
      <c r="A26" s="26" t="s">
        <v>33</v>
      </c>
      <c r="B26" s="29">
        <v>36800</v>
      </c>
    </row>
    <row r="27" spans="1:9" x14ac:dyDescent="0.3">
      <c r="A27" s="26" t="s">
        <v>19</v>
      </c>
      <c r="B27" s="29">
        <v>38688</v>
      </c>
    </row>
    <row r="28" spans="1:9" x14ac:dyDescent="0.3">
      <c r="A28" s="26" t="s">
        <v>29</v>
      </c>
      <c r="B28" s="29">
        <v>33533.999999999993</v>
      </c>
    </row>
    <row r="29" spans="1:9" x14ac:dyDescent="0.3">
      <c r="A29" s="26" t="s">
        <v>38</v>
      </c>
      <c r="B29" s="29">
        <v>42218</v>
      </c>
    </row>
    <row r="30" spans="1:9" x14ac:dyDescent="0.3">
      <c r="A30" s="26" t="s">
        <v>210</v>
      </c>
      <c r="B30" s="29">
        <v>214072</v>
      </c>
    </row>
    <row r="31" spans="1:9" x14ac:dyDescent="0.3">
      <c r="B31" s="29"/>
    </row>
    <row r="32" spans="1:9" x14ac:dyDescent="0.3">
      <c r="B32" s="29"/>
    </row>
    <row r="33" spans="1:9" x14ac:dyDescent="0.3">
      <c r="B33" s="29"/>
    </row>
    <row r="34" spans="1:9" x14ac:dyDescent="0.3">
      <c r="B34" s="29"/>
    </row>
    <row r="35" spans="1:9" ht="15" thickBot="1" x14ac:dyDescent="0.35">
      <c r="A35" s="31"/>
      <c r="B35" s="32"/>
      <c r="C35" s="31"/>
      <c r="D35" s="31"/>
      <c r="E35" s="31"/>
      <c r="F35" s="31"/>
      <c r="G35" s="31"/>
      <c r="H35" s="31"/>
    </row>
    <row r="36" spans="1:9" ht="21" x14ac:dyDescent="0.4">
      <c r="A36" s="33" t="s">
        <v>214</v>
      </c>
      <c r="B36" s="29"/>
    </row>
    <row r="37" spans="1:9" x14ac:dyDescent="0.3">
      <c r="B37" s="29"/>
    </row>
    <row r="38" spans="1:9" ht="86.4" x14ac:dyDescent="0.3">
      <c r="B38" s="29"/>
      <c r="I38" s="35" t="s">
        <v>215</v>
      </c>
    </row>
    <row r="39" spans="1:9" x14ac:dyDescent="0.3">
      <c r="A39" s="25" t="s">
        <v>207</v>
      </c>
      <c r="B39" s="29" t="s">
        <v>208</v>
      </c>
    </row>
    <row r="40" spans="1:9" x14ac:dyDescent="0.3">
      <c r="A40" s="26" t="s">
        <v>158</v>
      </c>
      <c r="B40" s="29">
        <v>58045</v>
      </c>
    </row>
    <row r="41" spans="1:9" x14ac:dyDescent="0.3">
      <c r="A41" s="26" t="s">
        <v>160</v>
      </c>
      <c r="B41" s="29">
        <v>23140</v>
      </c>
    </row>
    <row r="42" spans="1:9" x14ac:dyDescent="0.3">
      <c r="A42" s="26" t="s">
        <v>155</v>
      </c>
      <c r="B42" s="29">
        <v>88985</v>
      </c>
    </row>
    <row r="43" spans="1:9" x14ac:dyDescent="0.3">
      <c r="A43" s="26" t="s">
        <v>210</v>
      </c>
      <c r="B43" s="29">
        <v>170170</v>
      </c>
    </row>
    <row r="54" spans="1:9" ht="15" thickBot="1" x14ac:dyDescent="0.35">
      <c r="A54" s="31"/>
      <c r="B54" s="31"/>
      <c r="C54" s="31"/>
      <c r="D54" s="31"/>
      <c r="E54" s="31"/>
      <c r="F54" s="31"/>
      <c r="G54" s="31"/>
      <c r="H54" s="31"/>
      <c r="I54" s="31"/>
    </row>
    <row r="55" spans="1:9" ht="21" x14ac:dyDescent="0.4">
      <c r="A55" s="33" t="s">
        <v>216</v>
      </c>
    </row>
    <row r="57" spans="1:9" x14ac:dyDescent="0.3">
      <c r="A57" s="25" t="s">
        <v>207</v>
      </c>
      <c r="B57" t="s">
        <v>217</v>
      </c>
    </row>
    <row r="58" spans="1:9" x14ac:dyDescent="0.3">
      <c r="A58" s="26" t="s">
        <v>218</v>
      </c>
      <c r="B58">
        <v>48</v>
      </c>
    </row>
    <row r="59" spans="1:9" x14ac:dyDescent="0.3">
      <c r="A59" s="26" t="s">
        <v>219</v>
      </c>
      <c r="B59">
        <v>6</v>
      </c>
    </row>
    <row r="60" spans="1:9" x14ac:dyDescent="0.3">
      <c r="A60" s="26" t="s">
        <v>220</v>
      </c>
      <c r="B60">
        <v>46</v>
      </c>
    </row>
    <row r="61" spans="1:9" x14ac:dyDescent="0.3">
      <c r="A61" s="26" t="s">
        <v>210</v>
      </c>
      <c r="B61">
        <v>100</v>
      </c>
    </row>
  </sheetData>
  <pageMargins left="0.7" right="0.7" top="0.75" bottom="0.75" header="0.3" footer="0.3"/>
  <drawing r:id="rId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9B10B16-120C-4DB1-B865-00D56D39EB7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Integrantes</vt:lpstr>
      <vt:lpstr>1. Operaciones</vt:lpstr>
      <vt:lpstr>2. Productos</vt:lpstr>
      <vt:lpstr>3. Mercados</vt:lpstr>
      <vt:lpstr>Preguntas</vt:lpstr>
      <vt:lpstr> Gráficos y  Tablas dinámicas  </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Cèsar Marìn</dc:creator>
  <cp:keywords/>
  <dc:description/>
  <cp:lastModifiedBy>valentina cerna</cp:lastModifiedBy>
  <cp:revision/>
  <dcterms:created xsi:type="dcterms:W3CDTF">2026-08-30T17:25:07Z</dcterms:created>
  <dcterms:modified xsi:type="dcterms:W3CDTF">2026-09-10T16:10:37Z</dcterms:modified>
  <cp:category/>
  <cp:contentStatus/>
</cp:coreProperties>
</file>